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Bids" sheetId="3" state="visible" r:id="rId3"/>
    <sheet name="Summary" sheetId="4" state="visible" r:id="rId4"/>
  </sheets>
  <definedNames/>
  <calcPr calcId="124519" fullCalcOnLoad="1"/>
</workbook>
</file>

<file path=xl/styles.xml><?xml version="1.0" encoding="utf-8"?>
<styleSheet xmlns="http://schemas.openxmlformats.org/spreadsheetml/2006/main">
  <numFmts count="2">
    <numFmt numFmtId="164" formatCode="$#,##0"/>
    <numFmt numFmtId="165" formatCode="yyyy-mm-dd"/>
  </numFmts>
  <fonts count="7">
    <font>
      <name val="Calibri"/>
      <family val="2"/>
      <color theme="1"/>
      <sz val="11"/>
      <scheme val="minor"/>
    </font>
    <font>
      <name val="Arial"/>
      <b val="1"/>
      <sz val="14"/>
    </font>
    <font>
      <name val="Arial"/>
      <b val="1"/>
      <sz val="10"/>
    </font>
    <font>
      <name val="Arial"/>
      <sz val="10"/>
    </font>
    <font>
      <name val="Arial"/>
      <i val="1"/>
      <color rgb="00666666"/>
      <sz val="9"/>
    </font>
    <font>
      <name val="Arial"/>
      <color rgb="000000FF"/>
      <sz val="10"/>
    </font>
    <font>
      <name val="Arial"/>
      <b val="1"/>
      <color rgb="00FFFFFF"/>
      <sz val="10"/>
    </font>
  </fonts>
  <fills count="5">
    <fill>
      <patternFill/>
    </fill>
    <fill>
      <patternFill patternType="gray125"/>
    </fill>
    <fill>
      <patternFill patternType="solid">
        <fgColor rgb="00FFF7CC"/>
      </patternFill>
    </fill>
    <fill>
      <patternFill patternType="solid">
        <fgColor rgb="001F3A2E"/>
      </patternFill>
    </fill>
    <fill>
      <patternFill patternType="solid">
        <fgColor rgb="00EEEEE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4" fillId="0" borderId="0" pivotButton="0" quotePrefix="0" xfId="0"/>
    <xf numFmtId="0" fontId="3" fillId="0" borderId="0" pivotButton="0" quotePrefix="0" xfId="0"/>
    <xf numFmtId="164" fontId="5" fillId="2" borderId="1" pivotButton="0" quotePrefix="0" xfId="0"/>
    <xf numFmtId="9" fontId="5" fillId="2" borderId="1" pivotButton="0" quotePrefix="0" xfId="0"/>
    <xf numFmtId="0" fontId="5" fillId="2" borderId="1" pivotButton="0" quotePrefix="0" xfId="0"/>
    <xf numFmtId="0" fontId="2" fillId="0" borderId="0" pivotButton="0" quotePrefix="0" xfId="0"/>
    <xf numFmtId="0" fontId="0" fillId="2" borderId="1" pivotButton="0" quotePrefix="0" xfId="0"/>
    <xf numFmtId="0" fontId="6" fillId="3" borderId="0" applyAlignment="1" pivotButton="0" quotePrefix="0" xfId="0">
      <alignment vertical="center" wrapText="1"/>
    </xf>
    <xf numFmtId="0" fontId="3" fillId="4" borderId="1" pivotButton="0" quotePrefix="0" xfId="0"/>
    <xf numFmtId="165" fontId="3" fillId="4" borderId="1" pivotButton="0" quotePrefix="0" xfId="0"/>
    <xf numFmtId="164" fontId="3" fillId="4" borderId="1" pivotButton="0" quotePrefix="0" xfId="0"/>
    <xf numFmtId="9" fontId="3" fillId="0" borderId="0" pivotButton="0" quotePrefix="0" xfId="0"/>
    <xf numFmtId="164" fontId="3" fillId="0" borderId="0" pivotButton="0" quotePrefix="0" xfId="0"/>
    <xf numFmtId="165" fontId="5" fillId="2" borderId="1" pivotButton="0" quotePrefix="0" xfId="0"/>
    <xf numFmtId="1" fontId="3" fillId="0" borderId="0" pivotButton="0" quotePrefix="0" xfId="0"/>
    <xf numFmtId="2" fontId="3" fillId="0" borderId="0" pivotButton="0" quotePrefix="0" xfId="0"/>
    <xf numFmtId="0" fontId="6" fillId="3" borderId="0" pivotButton="0" quotePrefix="0" xfId="0"/>
  </cellXfs>
  <cellStyles count="1">
    <cellStyle name="Normal" xfId="0" builtinId="0" hidden="0"/>
  </cellStyles>
  <dxfs count="3">
    <dxf>
      <fill>
        <patternFill patternType="solid">
          <fgColor rgb="00F8D7DA"/>
        </patternFill>
      </fill>
    </dxf>
    <dxf>
      <fill>
        <patternFill patternType="solid">
          <fgColor rgb="00FFF3CD"/>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Win rate by lead source</a:t>
            </a:r>
          </a:p>
        </rich>
      </tx>
    </title>
    <plotArea>
      <barChart>
        <barDir val="bar"/>
        <grouping val="clustered"/>
        <ser>
          <idx val="0"/>
          <order val="0"/>
          <tx>
            <strRef>
              <f>'Summary'!D19</f>
            </strRef>
          </tx>
          <spPr>
            <a:ln>
              <a:prstDash val="solid"/>
            </a:ln>
          </spPr>
          <cat>
            <numRef>
              <f>'Summary'!$A$20:$A$29</f>
            </numRef>
          </cat>
          <val>
            <numRef>
              <f>'Summary'!$D$20:$D$29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Win rate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B24"/>
  <sheetViews>
    <sheetView workbookViewId="0">
      <selection activeCell="A1" sqref="A1"/>
    </sheetView>
  </sheetViews>
  <sheetFormatPr baseColWidth="8" defaultRowHeight="15"/>
  <cols>
    <col width="4" customWidth="1" min="1" max="1"/>
    <col width="100" customWidth="1" min="2" max="2"/>
  </cols>
  <sheetData>
    <row r="2">
      <c r="B2" s="1" t="inlineStr">
        <is>
          <t>Bid Decision Workbook</t>
        </is>
      </c>
    </row>
    <row r="3">
      <c r="B3" s="2" t="inlineStr">
        <is>
          <t>Which bids are worth your time, and are you winning the ones you chase?</t>
        </is>
      </c>
    </row>
    <row r="4">
      <c r="B4" s="3" t="inlineStr"/>
    </row>
    <row r="5">
      <c r="B5" s="2" t="inlineStr">
        <is>
          <t>WHAT THIS DOES</t>
        </is>
      </c>
    </row>
    <row r="6">
      <c r="B6" s="3" t="inlineStr">
        <is>
          <t>Log every bid you consider on the Bids sheet. The sheet works out, from your own history, how often you win from each lead source, what a bid is worth once you allow for that, and whether the hours it takes to bid are worth it. The Summary sheet shows win rate by lead source, why you lose, and how much submitted work is sitting against the capacity you set.</t>
        </is>
      </c>
    </row>
    <row r="7">
      <c r="B7" s="3" t="inlineStr"/>
    </row>
    <row r="8">
      <c r="B8" s="2" t="inlineStr">
        <is>
          <t>WHAT THIS DOES NOT DO</t>
        </is>
      </c>
    </row>
    <row r="9">
      <c r="B9" s="3" t="inlineStr">
        <is>
          <t>It does not price or estimate a job, write proposals or invoices, schedule work, or track costs on a job. It is one file for one decision: bid or don't.</t>
        </is>
      </c>
    </row>
    <row r="10">
      <c r="B10" s="3" t="inlineStr"/>
    </row>
    <row r="11">
      <c r="B11" s="2" t="inlineStr">
        <is>
          <t>HOW TO USE IT (five minutes)</t>
        </is>
      </c>
    </row>
    <row r="12">
      <c r="B12" s="3" t="inlineStr">
        <is>
          <t>1. On Settings, enter your bidding hourly rate, the monthly capacity you can take on, and your lead sources. Yellow cells are yours to edit.</t>
        </is>
      </c>
    </row>
    <row r="13">
      <c r="B13" s="3" t="inlineStr">
        <is>
          <t>2. On Bids, delete the grey EXAMPLE rows and enter your own. One row per bid. Use the drop-downs for Lead source, Status and Loss reason.</t>
        </is>
      </c>
    </row>
    <row r="14">
      <c r="B14" s="3" t="inlineStr">
        <is>
          <t>3. Read the Signal column before you spend hours bidding. Read Summary once a month.</t>
        </is>
      </c>
    </row>
    <row r="15">
      <c r="B15" s="3" t="inlineStr">
        <is>
          <t>4. Google Sheets: File &gt; Import &gt; Upload this file &gt; 'Replace spreadsheet'. Everything works unchanged.</t>
        </is>
      </c>
    </row>
    <row r="16">
      <c r="B16" s="3" t="inlineStr"/>
    </row>
    <row r="17">
      <c r="B17" s="2" t="inlineStr">
        <is>
          <t>HOW THE SIGNAL IS WORKED OUT</t>
        </is>
      </c>
    </row>
    <row r="18">
      <c r="B18" s="3" t="inlineStr">
        <is>
          <t>Win rate for a lead source is won / (won + lost) from your own rows, once that source has at least the number of decided bids set on Settings (three by default). Before that it uses your overall win rate, and before you have any history it uses the starting guess on Settings. Expected value = estimated value x win rate. Bid cost = hours to bid x your rate. The Signal compares expected value per bidding hour with your rate: 'Worth it' at or above the multiple you set, 'Thin' at or above your rate, 'Skip?' below it. It is a signal, not an instruction; you decide.</t>
        </is>
      </c>
    </row>
    <row r="19">
      <c r="B19" s="3" t="inlineStr"/>
    </row>
    <row r="20">
      <c r="B20" s="2" t="inlineStr">
        <is>
          <t>LEGEND</t>
        </is>
      </c>
    </row>
    <row r="21">
      <c r="B21" s="3" t="inlineStr">
        <is>
          <t>Yellow cells with blue text: enter your numbers here.   Grey rows: examples, delete them.   Everything else: formulas, leave alone.</t>
        </is>
      </c>
    </row>
    <row r="22">
      <c r="B22" s="3" t="inlineStr"/>
    </row>
    <row r="23">
      <c r="B23" s="4" t="inlineStr">
        <is>
          <t>Made by Apex Micro (apexmicro.ai), a small digital workshop run by Thomas Norton, with AI assistance in building the formulas and layout, and reviewed by hand. If it is no use to you, you can have your money back; the refund page is at apexmicro.ai/refunds.</t>
        </is>
      </c>
    </row>
    <row r="24">
      <c r="B24" s="4" t="inlineStr">
        <is>
          <t>Version 1.0, September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46" customWidth="1" min="1" max="1"/>
    <col width="18" customWidth="1" min="2" max="2"/>
    <col width="60" customWidth="1" min="3" max="3"/>
  </cols>
  <sheetData>
    <row r="1">
      <c r="A1" s="5" t="inlineStr">
        <is>
          <t>Settings</t>
        </is>
      </c>
    </row>
    <row r="2">
      <c r="A2" s="6" t="inlineStr">
        <is>
          <t>Yellow cells are yours. Everything on Bids and Summary reads from here.</t>
        </is>
      </c>
    </row>
    <row r="4">
      <c r="A4" s="7" t="inlineStr">
        <is>
          <t>Your bidding hourly rate ($ per hour)</t>
        </is>
      </c>
      <c r="B4" s="8" t="n">
        <v>75</v>
      </c>
      <c r="C4" s="6" t="inlineStr">
        <is>
          <t>What an hour of your time spent bidding is worth to you. Used for bid cost.</t>
        </is>
      </c>
    </row>
    <row r="5">
      <c r="A5" s="7" t="inlineStr">
        <is>
          <t>Monthly capacity ($ of work you can take on)</t>
        </is>
      </c>
      <c r="B5" s="8" t="n">
        <v>40000</v>
      </c>
      <c r="C5" s="6" t="inlineStr">
        <is>
          <t>Roughly how much work you can deliver in a month. Used on Summary against submitted bids.</t>
        </is>
      </c>
    </row>
    <row r="6">
      <c r="A6" s="7" t="inlineStr">
        <is>
          <t>Starting guess at win rate (until you have history)</t>
        </is>
      </c>
      <c r="B6" s="9" t="n">
        <v>0.25</v>
      </c>
      <c r="C6" s="6" t="inlineStr">
        <is>
          <t>Used only while you have no decided bids. Stored as a fraction; 0.25 shows as 25%.</t>
        </is>
      </c>
    </row>
    <row r="7">
      <c r="A7" s="7" t="inlineStr">
        <is>
          <t>Decided bids needed before a lead source uses its own rate</t>
        </is>
      </c>
      <c r="B7" s="10" t="n">
        <v>3</v>
      </c>
      <c r="C7" s="6" t="inlineStr">
        <is>
          <t>Below this, a source uses your overall win rate instead of its own.</t>
        </is>
      </c>
    </row>
    <row r="8">
      <c r="A8" s="7" t="inlineStr">
        <is>
          <t>'Worth it' multiple (expected value per bid hour vs your rate)</t>
        </is>
      </c>
      <c r="B8" s="10" t="n">
        <v>2</v>
      </c>
      <c r="C8" s="6" t="inlineStr">
        <is>
          <t>At or above this multiple of your rate the Signal says 'Worth it'.</t>
        </is>
      </c>
    </row>
    <row r="9">
      <c r="A9" s="7" t="inlineStr">
        <is>
          <t>Follow-up after this many days submitted with no decision</t>
        </is>
      </c>
      <c r="B9" s="10" t="n">
        <v>14</v>
      </c>
      <c r="C9" s="6" t="inlineStr">
        <is>
          <t>Submitted bids older than this with no Won/Lost show a follow-up flag.</t>
        </is>
      </c>
    </row>
    <row r="10">
      <c r="A10" s="7" t="inlineStr">
        <is>
          <t>'Due soon' means due within this many days</t>
        </is>
      </c>
      <c r="B10" s="10" t="n">
        <v>5</v>
      </c>
      <c r="C10" s="6" t="inlineStr">
        <is>
          <t>Used for the Due flag on Bids.</t>
        </is>
      </c>
    </row>
    <row r="13">
      <c r="A13" s="11" t="inlineStr">
        <is>
          <t>Lead sources (edit; these feed the drop-down on Bids)</t>
        </is>
      </c>
    </row>
    <row r="14">
      <c r="A14" s="10" t="inlineStr">
        <is>
          <t>Referral</t>
        </is>
      </c>
    </row>
    <row r="15">
      <c r="A15" s="10" t="inlineStr">
        <is>
          <t>Repeat client</t>
        </is>
      </c>
    </row>
    <row r="16">
      <c r="A16" s="10" t="inlineStr">
        <is>
          <t>Website</t>
        </is>
      </c>
    </row>
    <row r="17">
      <c r="A17" s="10" t="inlineStr">
        <is>
          <t>Public bid notice</t>
        </is>
      </c>
    </row>
    <row r="18">
      <c r="A18" s="10" t="inlineStr">
        <is>
          <t>General contractor</t>
        </is>
      </c>
    </row>
    <row r="19">
      <c r="A19" s="10" t="inlineStr">
        <is>
          <t>Supplier</t>
        </is>
      </c>
    </row>
    <row r="20">
      <c r="A20" s="10" t="inlineStr">
        <is>
          <t>Cold enquiry</t>
        </is>
      </c>
    </row>
    <row r="21">
      <c r="A21" s="10" t="inlineStr">
        <is>
          <t>Other</t>
        </is>
      </c>
    </row>
    <row r="22">
      <c r="A22" s="12" t="n"/>
    </row>
    <row r="23">
      <c r="A23" s="12" t="n"/>
    </row>
    <row r="25">
      <c r="A25" s="11" t="inlineStr">
        <is>
          <t>Status values (fixed)</t>
        </is>
      </c>
    </row>
    <row r="26">
      <c r="A26" s="7" t="inlineStr">
        <is>
          <t>Considering</t>
        </is>
      </c>
    </row>
    <row r="27">
      <c r="A27" s="7" t="inlineStr">
        <is>
          <t>Bidding</t>
        </is>
      </c>
    </row>
    <row r="28">
      <c r="A28" s="7" t="inlineStr">
        <is>
          <t>Submitted</t>
        </is>
      </c>
    </row>
    <row r="29">
      <c r="A29" s="7" t="inlineStr">
        <is>
          <t>Won</t>
        </is>
      </c>
    </row>
    <row r="30">
      <c r="A30" s="7" t="inlineStr">
        <is>
          <t>Lost</t>
        </is>
      </c>
    </row>
    <row r="31">
      <c r="A31" s="7" t="inlineStr">
        <is>
          <t>No bid</t>
        </is>
      </c>
    </row>
    <row r="33">
      <c r="A33" s="11" t="inlineStr">
        <is>
          <t>Loss reasons (edit)</t>
        </is>
      </c>
    </row>
    <row r="34">
      <c r="A34" s="10" t="inlineStr">
        <is>
          <t>Price</t>
        </is>
      </c>
    </row>
    <row r="35">
      <c r="A35" s="10" t="inlineStr">
        <is>
          <t>Timing</t>
        </is>
      </c>
    </row>
    <row r="36">
      <c r="A36" s="10" t="inlineStr">
        <is>
          <t>Relationship</t>
        </is>
      </c>
    </row>
    <row r="37">
      <c r="A37" s="10" t="inlineStr">
        <is>
          <t>Scope</t>
        </is>
      </c>
    </row>
    <row r="38">
      <c r="A38" s="10" t="inlineStr">
        <is>
          <t>Never heard back</t>
        </is>
      </c>
    </row>
    <row r="39">
      <c r="A39" s="10" t="inlineStr">
        <is>
          <t>Other</t>
        </is>
      </c>
    </row>
    <row r="40">
      <c r="A40" s="12" t="n"/>
    </row>
    <row r="41">
      <c r="A41" s="1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34" customWidth="1" min="3" max="3"/>
    <col width="18" customWidth="1" min="4" max="4"/>
    <col width="11" customWidth="1" min="5" max="5"/>
    <col width="11" customWidth="1" min="6" max="6"/>
    <col width="14" customWidth="1" min="7" max="7"/>
    <col width="11" customWidth="1" min="8" max="8"/>
    <col width="13" customWidth="1" min="9" max="9"/>
    <col width="11" customWidth="1" min="10" max="10"/>
    <col width="11" customWidth="1" min="11" max="11"/>
    <col width="16" customWidth="1" min="12" max="12"/>
    <col width="28" customWidth="1" min="13" max="13"/>
    <col width="11" customWidth="1" min="14" max="14"/>
    <col width="12" customWidth="1" min="15" max="15"/>
    <col width="12" customWidth="1" min="16" max="16"/>
    <col width="12" customWidth="1" min="17" max="17"/>
    <col width="16" customWidth="1" min="18" max="18"/>
    <col width="12" customWidth="1" min="19" max="19"/>
    <col width="16" customWidth="1" min="20" max="20"/>
    <col width="12" customWidth="1" min="21" max="21"/>
  </cols>
  <sheetData>
    <row r="1" ht="30" customHeight="1">
      <c r="A1" s="13" t="inlineStr">
        <is>
          <t>Bid #</t>
        </is>
      </c>
      <c r="B1" s="13" t="inlineStr">
        <is>
          <t>Client</t>
        </is>
      </c>
      <c r="C1" s="13" t="inlineStr">
        <is>
          <t>Scope (one line)</t>
        </is>
      </c>
      <c r="D1" s="13" t="inlineStr">
        <is>
          <t>Lead source</t>
        </is>
      </c>
      <c r="E1" s="13" t="inlineStr">
        <is>
          <t>Received</t>
        </is>
      </c>
      <c r="F1" s="13" t="inlineStr">
        <is>
          <t>Due</t>
        </is>
      </c>
      <c r="G1" s="13" t="inlineStr">
        <is>
          <t>Est. value ($)</t>
        </is>
      </c>
      <c r="H1" s="13" t="inlineStr">
        <is>
          <t>Hours to bid</t>
        </is>
      </c>
      <c r="I1" s="13" t="inlineStr">
        <is>
          <t>Status</t>
        </is>
      </c>
      <c r="J1" s="13" t="inlineStr">
        <is>
          <t>Submitted</t>
        </is>
      </c>
      <c r="K1" s="13" t="inlineStr">
        <is>
          <t>Decided</t>
        </is>
      </c>
      <c r="L1" s="13" t="inlineStr">
        <is>
          <t>Loss reason</t>
        </is>
      </c>
      <c r="M1" s="13" t="inlineStr">
        <is>
          <t>Notes</t>
        </is>
      </c>
      <c r="N1" s="13" t="inlineStr">
        <is>
          <t>Days to due</t>
        </is>
      </c>
      <c r="O1" s="13" t="inlineStr">
        <is>
          <t>Due flag</t>
        </is>
      </c>
      <c r="P1" s="13" t="inlineStr">
        <is>
          <t>Follow-up</t>
        </is>
      </c>
      <c r="Q1" s="13" t="inlineStr">
        <is>
          <t>Win rate used</t>
        </is>
      </c>
      <c r="R1" s="13" t="inlineStr">
        <is>
          <t>Expected value ($)</t>
        </is>
      </c>
      <c r="S1" s="13" t="inlineStr">
        <is>
          <t>Bid cost ($)</t>
        </is>
      </c>
      <c r="T1" s="13" t="inlineStr">
        <is>
          <t>EV per bid hour ($)</t>
        </is>
      </c>
      <c r="U1" s="13" t="inlineStr">
        <is>
          <t>Signal</t>
        </is>
      </c>
    </row>
    <row r="2">
      <c r="A2" s="14" t="n">
        <v>1</v>
      </c>
      <c r="B2" s="14" t="inlineStr">
        <is>
          <t>EXAMPLE Mill Street Housing</t>
        </is>
      </c>
      <c r="C2" s="14" t="inlineStr">
        <is>
          <t>Kitchen casework, 6 units</t>
        </is>
      </c>
      <c r="D2" s="14" t="inlineStr">
        <is>
          <t>Public bid notice</t>
        </is>
      </c>
      <c r="E2" s="15" t="n">
        <v>46260</v>
      </c>
      <c r="F2" s="15" t="n">
        <v>46289</v>
      </c>
      <c r="G2" s="16" t="n">
        <v>48000</v>
      </c>
      <c r="H2" s="14" t="n">
        <v>10</v>
      </c>
      <c r="I2" s="14" t="inlineStr">
        <is>
          <t>Submitted</t>
        </is>
      </c>
      <c r="J2" s="15" t="n">
        <v>46268</v>
      </c>
      <c r="K2" s="15" t="n"/>
      <c r="L2" s="14" t="n"/>
      <c r="M2" s="14" t="inlineStr"/>
      <c r="N2" s="7">
        <f>IF(OR($F2="",$B2=""),"",$F2-TODAY())</f>
        <v/>
      </c>
      <c r="O2" s="7">
        <f>IF($B2="","",IF(OR($I2="Won",$I2="Lost",$I2="No bid",$I2="Submitted"),"",IF($F2="","No due date",IF($F2&lt;TODAY(),"OVERDUE",IF($F2-TODAY()&lt;=Settings!$B$10,"Due soon","")))))</f>
        <v/>
      </c>
      <c r="P2" s="7">
        <f>IF($B2="","",IF(AND($I2="Submitted",$J2&lt;&gt;"",TODAY()-$J2&gt;Settings!$B$9),"Follow up",""))</f>
        <v/>
      </c>
      <c r="Q2" s="17">
        <f>IF($B2="","",IF((COUNTIFS($D$2:$D$200,$D2,$I$2:$I$200,"Won")+COUNTIFS($D$2:$D$200,$D2,$I$2:$I$200,"Lost"))&gt;=Settings!$B$7,COUNTIFS($D$2:$D$200,$D2,$I$2:$I$200,"Won")/(COUNTIFS($D$2:$D$200,$D2,$I$2:$I$200,"Won")+COUNTIFS($D$2:$D$200,$D2,$I$2:$I$200,"Lost")),IF((COUNTIF($I$2:$I$200,"Won")+COUNTIF($I$2:$I$200,"Lost"))&gt;0,COUNTIF($I$2:$I$200,"Won")/(COUNTIF($I$2:$I$200,"Won")+COUNTIF($I$2:$I$200,"Lost")),Settings!$B$6)))</f>
        <v/>
      </c>
      <c r="R2" s="18">
        <f>IF(OR($B2="",$G2=""),"",$G2*$Q2)</f>
        <v/>
      </c>
      <c r="S2" s="18">
        <f>IF(OR($B2="",$H2=""),"",$H2*Settings!$B$4)</f>
        <v/>
      </c>
      <c r="T2" s="18">
        <f>IF(OR($B2="",$H2="",$H2=0,$G2=""),"",$R2/$H2)</f>
        <v/>
      </c>
      <c r="U2" s="11">
        <f>IF($B2="","",IF($T2="","Add value and hours",IF($T2&gt;=Settings!$B$4*Settings!$B$8,"Worth it",IF($T2&gt;=Settings!$B$4,"Thin","Skip?"))))</f>
        <v/>
      </c>
    </row>
    <row r="3">
      <c r="A3" s="14" t="n">
        <v>2</v>
      </c>
      <c r="B3" s="14" t="inlineStr">
        <is>
          <t>EXAMPLE Harbor Dental</t>
        </is>
      </c>
      <c r="C3" s="14" t="inlineStr">
        <is>
          <t>Reception desk and cabinetry</t>
        </is>
      </c>
      <c r="D3" s="14" t="inlineStr">
        <is>
          <t>Referral</t>
        </is>
      </c>
      <c r="E3" s="15" t="n">
        <v>46245</v>
      </c>
      <c r="F3" s="15" t="n">
        <v>46270</v>
      </c>
      <c r="G3" s="16" t="n">
        <v>18500</v>
      </c>
      <c r="H3" s="14" t="n">
        <v>4</v>
      </c>
      <c r="I3" s="14" t="inlineStr">
        <is>
          <t>Won</t>
        </is>
      </c>
      <c r="J3" s="15" t="n">
        <v>46250</v>
      </c>
      <c r="K3" s="15" t="n">
        <v>46265</v>
      </c>
      <c r="L3" s="14" t="n"/>
      <c r="M3" s="14" t="inlineStr">
        <is>
          <t>Second job from this dentist</t>
        </is>
      </c>
      <c r="N3" s="7">
        <f>IF(OR($F3="",$B3=""),"",$F3-TODAY())</f>
        <v/>
      </c>
      <c r="O3" s="7">
        <f>IF($B3="","",IF(OR($I3="Won",$I3="Lost",$I3="No bid",$I3="Submitted"),"",IF($F3="","No due date",IF($F3&lt;TODAY(),"OVERDUE",IF($F3-TODAY()&lt;=Settings!$B$10,"Due soon","")))))</f>
        <v/>
      </c>
      <c r="P3" s="7">
        <f>IF($B3="","",IF(AND($I3="Submitted",$J3&lt;&gt;"",TODAY()-$J3&gt;Settings!$B$9),"Follow up",""))</f>
        <v/>
      </c>
      <c r="Q3" s="17">
        <f>IF($B3="","",IF((COUNTIFS($D$2:$D$200,$D3,$I$2:$I$200,"Won")+COUNTIFS($D$2:$D$200,$D3,$I$2:$I$200,"Lost"))&gt;=Settings!$B$7,COUNTIFS($D$2:$D$200,$D3,$I$2:$I$200,"Won")/(COUNTIFS($D$2:$D$200,$D3,$I$2:$I$200,"Won")+COUNTIFS($D$2:$D$200,$D3,$I$2:$I$200,"Lost")),IF((COUNTIF($I$2:$I$200,"Won")+COUNTIF($I$2:$I$200,"Lost"))&gt;0,COUNTIF($I$2:$I$200,"Won")/(COUNTIF($I$2:$I$200,"Won")+COUNTIF($I$2:$I$200,"Lost")),Settings!$B$6)))</f>
        <v/>
      </c>
      <c r="R3" s="18">
        <f>IF(OR($B3="",$G3=""),"",$G3*$Q3)</f>
        <v/>
      </c>
      <c r="S3" s="18">
        <f>IF(OR($B3="",$H3=""),"",$H3*Settings!$B$4)</f>
        <v/>
      </c>
      <c r="T3" s="18">
        <f>IF(OR($B3="",$H3="",$H3=0,$G3=""),"",$R3/$H3)</f>
        <v/>
      </c>
      <c r="U3" s="11">
        <f>IF($B3="","",IF($T3="","Add value and hours",IF($T3&gt;=Settings!$B$4*Settings!$B$8,"Worth it",IF($T3&gt;=Settings!$B$4,"Thin","Skip?"))))</f>
        <v/>
      </c>
    </row>
    <row r="4">
      <c r="A4" s="14" t="n">
        <v>3</v>
      </c>
      <c r="B4" s="14" t="inlineStr">
        <is>
          <t>EXAMPLE Northside Builders</t>
        </is>
      </c>
      <c r="C4" s="14" t="inlineStr">
        <is>
          <t>Sub-bid: library shelving</t>
        </is>
      </c>
      <c r="D4" s="14" t="inlineStr">
        <is>
          <t>General contractor</t>
        </is>
      </c>
      <c r="E4" s="15" t="n">
        <v>46240</v>
      </c>
      <c r="F4" s="15" t="n">
        <v>46255</v>
      </c>
      <c r="G4" s="16" t="n">
        <v>62000</v>
      </c>
      <c r="H4" s="14" t="n">
        <v>12</v>
      </c>
      <c r="I4" s="14" t="inlineStr">
        <is>
          <t>Lost</t>
        </is>
      </c>
      <c r="J4" s="15" t="n">
        <v>46250</v>
      </c>
      <c r="K4" s="15" t="n">
        <v>46260</v>
      </c>
      <c r="L4" s="14" t="inlineStr">
        <is>
          <t>Price</t>
        </is>
      </c>
      <c r="M4" s="14" t="inlineStr"/>
      <c r="N4" s="7">
        <f>IF(OR($F4="",$B4=""),"",$F4-TODAY())</f>
        <v/>
      </c>
      <c r="O4" s="7">
        <f>IF($B4="","",IF(OR($I4="Won",$I4="Lost",$I4="No bid",$I4="Submitted"),"",IF($F4="","No due date",IF($F4&lt;TODAY(),"OVERDUE",IF($F4-TODAY()&lt;=Settings!$B$10,"Due soon","")))))</f>
        <v/>
      </c>
      <c r="P4" s="7">
        <f>IF($B4="","",IF(AND($I4="Submitted",$J4&lt;&gt;"",TODAY()-$J4&gt;Settings!$B$9),"Follow up",""))</f>
        <v/>
      </c>
      <c r="Q4" s="17">
        <f>IF($B4="","",IF((COUNTIFS($D$2:$D$200,$D4,$I$2:$I$200,"Won")+COUNTIFS($D$2:$D$200,$D4,$I$2:$I$200,"Lost"))&gt;=Settings!$B$7,COUNTIFS($D$2:$D$200,$D4,$I$2:$I$200,"Won")/(COUNTIFS($D$2:$D$200,$D4,$I$2:$I$200,"Won")+COUNTIFS($D$2:$D$200,$D4,$I$2:$I$200,"Lost")),IF((COUNTIF($I$2:$I$200,"Won")+COUNTIF($I$2:$I$200,"Lost"))&gt;0,COUNTIF($I$2:$I$200,"Won")/(COUNTIF($I$2:$I$200,"Won")+COUNTIF($I$2:$I$200,"Lost")),Settings!$B$6)))</f>
        <v/>
      </c>
      <c r="R4" s="18">
        <f>IF(OR($B4="",$G4=""),"",$G4*$Q4)</f>
        <v/>
      </c>
      <c r="S4" s="18">
        <f>IF(OR($B4="",$H4=""),"",$H4*Settings!$B$4)</f>
        <v/>
      </c>
      <c r="T4" s="18">
        <f>IF(OR($B4="",$H4="",$H4=0,$G4=""),"",$R4/$H4)</f>
        <v/>
      </c>
      <c r="U4" s="11">
        <f>IF($B4="","",IF($T4="","Add value and hours",IF($T4&gt;=Settings!$B$4*Settings!$B$8,"Worth it",IF($T4&gt;=Settings!$B$4,"Thin","Skip?"))))</f>
        <v/>
      </c>
    </row>
    <row r="5">
      <c r="A5" s="14" t="n">
        <v>4</v>
      </c>
      <c r="B5" s="14" t="inlineStr">
        <is>
          <t>EXAMPLE Ames Residence</t>
        </is>
      </c>
      <c r="C5" s="14" t="inlineStr">
        <is>
          <t>Custom vanity, two baths</t>
        </is>
      </c>
      <c r="D5" s="14" t="inlineStr">
        <is>
          <t>Website</t>
        </is>
      </c>
      <c r="E5" s="15" t="n">
        <v>46272</v>
      </c>
      <c r="F5" s="15" t="n">
        <v>46284</v>
      </c>
      <c r="G5" s="16" t="n">
        <v>7200</v>
      </c>
      <c r="H5" s="14" t="n">
        <v>2</v>
      </c>
      <c r="I5" s="14" t="inlineStr">
        <is>
          <t>Bidding</t>
        </is>
      </c>
      <c r="J5" s="15" t="n"/>
      <c r="K5" s="15" t="n"/>
      <c r="L5" s="14" t="n"/>
      <c r="M5" s="14" t="inlineStr"/>
      <c r="N5" s="7">
        <f>IF(OR($F5="",$B5=""),"",$F5-TODAY())</f>
        <v/>
      </c>
      <c r="O5" s="7">
        <f>IF($B5="","",IF(OR($I5="Won",$I5="Lost",$I5="No bid",$I5="Submitted"),"",IF($F5="","No due date",IF($F5&lt;TODAY(),"OVERDUE",IF($F5-TODAY()&lt;=Settings!$B$10,"Due soon","")))))</f>
        <v/>
      </c>
      <c r="P5" s="7">
        <f>IF($B5="","",IF(AND($I5="Submitted",$J5&lt;&gt;"",TODAY()-$J5&gt;Settings!$B$9),"Follow up",""))</f>
        <v/>
      </c>
      <c r="Q5" s="17">
        <f>IF($B5="","",IF((COUNTIFS($D$2:$D$200,$D5,$I$2:$I$200,"Won")+COUNTIFS($D$2:$D$200,$D5,$I$2:$I$200,"Lost"))&gt;=Settings!$B$7,COUNTIFS($D$2:$D$200,$D5,$I$2:$I$200,"Won")/(COUNTIFS($D$2:$D$200,$D5,$I$2:$I$200,"Won")+COUNTIFS($D$2:$D$200,$D5,$I$2:$I$200,"Lost")),IF((COUNTIF($I$2:$I$200,"Won")+COUNTIF($I$2:$I$200,"Lost"))&gt;0,COUNTIF($I$2:$I$200,"Won")/(COUNTIF($I$2:$I$200,"Won")+COUNTIF($I$2:$I$200,"Lost")),Settings!$B$6)))</f>
        <v/>
      </c>
      <c r="R5" s="18">
        <f>IF(OR($B5="",$G5=""),"",$G5*$Q5)</f>
        <v/>
      </c>
      <c r="S5" s="18">
        <f>IF(OR($B5="",$H5=""),"",$H5*Settings!$B$4)</f>
        <v/>
      </c>
      <c r="T5" s="18">
        <f>IF(OR($B5="",$H5="",$H5=0,$G5=""),"",$R5/$H5)</f>
        <v/>
      </c>
      <c r="U5" s="11">
        <f>IF($B5="","",IF($T5="","Add value and hours",IF($T5&gt;=Settings!$B$4*Settings!$B$8,"Worth it",IF($T5&gt;=Settings!$B$4,"Thin","Skip?"))))</f>
        <v/>
      </c>
    </row>
    <row r="6">
      <c r="A6" s="14" t="n">
        <v>5</v>
      </c>
      <c r="B6" s="14" t="inlineStr">
        <is>
          <t>EXAMPLE Town of Elmford</t>
        </is>
      </c>
      <c r="C6" s="14" t="inlineStr">
        <is>
          <t>Counter ADA rebuild</t>
        </is>
      </c>
      <c r="D6" s="14" t="inlineStr">
        <is>
          <t>Public bid notice</t>
        </is>
      </c>
      <c r="E6" s="15" t="n">
        <v>46230</v>
      </c>
      <c r="F6" s="15" t="n">
        <v>46240</v>
      </c>
      <c r="G6" s="16" t="n">
        <v>21000</v>
      </c>
      <c r="H6" s="14" t="n">
        <v>8</v>
      </c>
      <c r="I6" s="14" t="inlineStr">
        <is>
          <t>Lost</t>
        </is>
      </c>
      <c r="J6" s="15" t="n">
        <v>46235</v>
      </c>
      <c r="K6" s="15" t="n">
        <v>46242</v>
      </c>
      <c r="L6" s="14" t="inlineStr">
        <is>
          <t>Never heard back</t>
        </is>
      </c>
      <c r="M6" s="14" t="inlineStr"/>
      <c r="N6" s="7">
        <f>IF(OR($F6="",$B6=""),"",$F6-TODAY())</f>
        <v/>
      </c>
      <c r="O6" s="7">
        <f>IF($B6="","",IF(OR($I6="Won",$I6="Lost",$I6="No bid",$I6="Submitted"),"",IF($F6="","No due date",IF($F6&lt;TODAY(),"OVERDUE",IF($F6-TODAY()&lt;=Settings!$B$10,"Due soon","")))))</f>
        <v/>
      </c>
      <c r="P6" s="7">
        <f>IF($B6="","",IF(AND($I6="Submitted",$J6&lt;&gt;"",TODAY()-$J6&gt;Settings!$B$9),"Follow up",""))</f>
        <v/>
      </c>
      <c r="Q6" s="17">
        <f>IF($B6="","",IF((COUNTIFS($D$2:$D$200,$D6,$I$2:$I$200,"Won")+COUNTIFS($D$2:$D$200,$D6,$I$2:$I$200,"Lost"))&gt;=Settings!$B$7,COUNTIFS($D$2:$D$200,$D6,$I$2:$I$200,"Won")/(COUNTIFS($D$2:$D$200,$D6,$I$2:$I$200,"Won")+COUNTIFS($D$2:$D$200,$D6,$I$2:$I$200,"Lost")),IF((COUNTIF($I$2:$I$200,"Won")+COUNTIF($I$2:$I$200,"Lost"))&gt;0,COUNTIF($I$2:$I$200,"Won")/(COUNTIF($I$2:$I$200,"Won")+COUNTIF($I$2:$I$200,"Lost")),Settings!$B$6)))</f>
        <v/>
      </c>
      <c r="R6" s="18">
        <f>IF(OR($B6="",$G6=""),"",$G6*$Q6)</f>
        <v/>
      </c>
      <c r="S6" s="18">
        <f>IF(OR($B6="",$H6=""),"",$H6*Settings!$B$4)</f>
        <v/>
      </c>
      <c r="T6" s="18">
        <f>IF(OR($B6="",$H6="",$H6=0,$G6=""),"",$R6/$H6)</f>
        <v/>
      </c>
      <c r="U6" s="11">
        <f>IF($B6="","",IF($T6="","Add value and hours",IF($T6&gt;=Settings!$B$4*Settings!$B$8,"Worth it",IF($T6&gt;=Settings!$B$4,"Thin","Skip?"))))</f>
        <v/>
      </c>
    </row>
    <row r="7">
      <c r="A7" s="14" t="n">
        <v>6</v>
      </c>
      <c r="B7" s="14" t="inlineStr">
        <is>
          <t>EXAMPLE Petra Cafe</t>
        </is>
      </c>
      <c r="C7" s="14" t="inlineStr">
        <is>
          <t>Bar front and back bar</t>
        </is>
      </c>
      <c r="D7" s="14" t="inlineStr">
        <is>
          <t>Referral</t>
        </is>
      </c>
      <c r="E7" s="15" t="n">
        <v>46220</v>
      </c>
      <c r="F7" s="15" t="n">
        <v>46230</v>
      </c>
      <c r="G7" s="16" t="n">
        <v>15800</v>
      </c>
      <c r="H7" s="14" t="n">
        <v>3</v>
      </c>
      <c r="I7" s="14" t="inlineStr">
        <is>
          <t>Won</t>
        </is>
      </c>
      <c r="J7" s="15" t="n">
        <v>46225</v>
      </c>
      <c r="K7" s="15" t="n">
        <v>46232</v>
      </c>
      <c r="L7" s="14" t="n"/>
      <c r="M7" s="14" t="inlineStr"/>
      <c r="N7" s="7">
        <f>IF(OR($F7="",$B7=""),"",$F7-TODAY())</f>
        <v/>
      </c>
      <c r="O7" s="7">
        <f>IF($B7="","",IF(OR($I7="Won",$I7="Lost",$I7="No bid",$I7="Submitted"),"",IF($F7="","No due date",IF($F7&lt;TODAY(),"OVERDUE",IF($F7-TODAY()&lt;=Settings!$B$10,"Due soon","")))))</f>
        <v/>
      </c>
      <c r="P7" s="7">
        <f>IF($B7="","",IF(AND($I7="Submitted",$J7&lt;&gt;"",TODAY()-$J7&gt;Settings!$B$9),"Follow up",""))</f>
        <v/>
      </c>
      <c r="Q7" s="17">
        <f>IF($B7="","",IF((COUNTIFS($D$2:$D$200,$D7,$I$2:$I$200,"Won")+COUNTIFS($D$2:$D$200,$D7,$I$2:$I$200,"Lost"))&gt;=Settings!$B$7,COUNTIFS($D$2:$D$200,$D7,$I$2:$I$200,"Won")/(COUNTIFS($D$2:$D$200,$D7,$I$2:$I$200,"Won")+COUNTIFS($D$2:$D$200,$D7,$I$2:$I$200,"Lost")),IF((COUNTIF($I$2:$I$200,"Won")+COUNTIF($I$2:$I$200,"Lost"))&gt;0,COUNTIF($I$2:$I$200,"Won")/(COUNTIF($I$2:$I$200,"Won")+COUNTIF($I$2:$I$200,"Lost")),Settings!$B$6)))</f>
        <v/>
      </c>
      <c r="R7" s="18">
        <f>IF(OR($B7="",$G7=""),"",$G7*$Q7)</f>
        <v/>
      </c>
      <c r="S7" s="18">
        <f>IF(OR($B7="",$H7=""),"",$H7*Settings!$B$4)</f>
        <v/>
      </c>
      <c r="T7" s="18">
        <f>IF(OR($B7="",$H7="",$H7=0,$G7=""),"",$R7/$H7)</f>
        <v/>
      </c>
      <c r="U7" s="11">
        <f>IF($B7="","",IF($T7="","Add value and hours",IF($T7&gt;=Settings!$B$4*Settings!$B$8,"Worth it",IF($T7&gt;=Settings!$B$4,"Thin","Skip?"))))</f>
        <v/>
      </c>
    </row>
    <row r="8">
      <c r="A8" s="14" t="n">
        <v>7</v>
      </c>
      <c r="B8" s="14" t="inlineStr">
        <is>
          <t>EXAMPLE Bright Learning</t>
        </is>
      </c>
      <c r="C8" s="14" t="inlineStr">
        <is>
          <t>Classroom cubbies x 4 rooms</t>
        </is>
      </c>
      <c r="D8" s="14" t="inlineStr">
        <is>
          <t>Cold enquiry</t>
        </is>
      </c>
      <c r="E8" s="15" t="n">
        <v>46277</v>
      </c>
      <c r="F8" s="15" t="n">
        <v>46292</v>
      </c>
      <c r="G8" s="16" t="n">
        <v>9900</v>
      </c>
      <c r="H8" s="14" t="n">
        <v>3</v>
      </c>
      <c r="I8" s="14" t="inlineStr">
        <is>
          <t>Considering</t>
        </is>
      </c>
      <c r="J8" s="15" t="n"/>
      <c r="K8" s="15" t="n"/>
      <c r="L8" s="14" t="n"/>
      <c r="M8" s="14" t="inlineStr">
        <is>
          <t>Asked for drawings</t>
        </is>
      </c>
      <c r="N8" s="7">
        <f>IF(OR($F8="",$B8=""),"",$F8-TODAY())</f>
        <v/>
      </c>
      <c r="O8" s="7">
        <f>IF($B8="","",IF(OR($I8="Won",$I8="Lost",$I8="No bid",$I8="Submitted"),"",IF($F8="","No due date",IF($F8&lt;TODAY(),"OVERDUE",IF($F8-TODAY()&lt;=Settings!$B$10,"Due soon","")))))</f>
        <v/>
      </c>
      <c r="P8" s="7">
        <f>IF($B8="","",IF(AND($I8="Submitted",$J8&lt;&gt;"",TODAY()-$J8&gt;Settings!$B$9),"Follow up",""))</f>
        <v/>
      </c>
      <c r="Q8" s="17">
        <f>IF($B8="","",IF((COUNTIFS($D$2:$D$200,$D8,$I$2:$I$200,"Won")+COUNTIFS($D$2:$D$200,$D8,$I$2:$I$200,"Lost"))&gt;=Settings!$B$7,COUNTIFS($D$2:$D$200,$D8,$I$2:$I$200,"Won")/(COUNTIFS($D$2:$D$200,$D8,$I$2:$I$200,"Won")+COUNTIFS($D$2:$D$200,$D8,$I$2:$I$200,"Lost")),IF((COUNTIF($I$2:$I$200,"Won")+COUNTIF($I$2:$I$200,"Lost"))&gt;0,COUNTIF($I$2:$I$200,"Won")/(COUNTIF($I$2:$I$200,"Won")+COUNTIF($I$2:$I$200,"Lost")),Settings!$B$6)))</f>
        <v/>
      </c>
      <c r="R8" s="18">
        <f>IF(OR($B8="",$G8=""),"",$G8*$Q8)</f>
        <v/>
      </c>
      <c r="S8" s="18">
        <f>IF(OR($B8="",$H8=""),"",$H8*Settings!$B$4)</f>
        <v/>
      </c>
      <c r="T8" s="18">
        <f>IF(OR($B8="",$H8="",$H8=0,$G8=""),"",$R8/$H8)</f>
        <v/>
      </c>
      <c r="U8" s="11">
        <f>IF($B8="","",IF($T8="","Add value and hours",IF($T8&gt;=Settings!$B$4*Settings!$B$8,"Worth it",IF($T8&gt;=Settings!$B$4,"Thin","Skip?"))))</f>
        <v/>
      </c>
    </row>
    <row r="9">
      <c r="A9" s="14" t="n">
        <v>8</v>
      </c>
      <c r="B9" s="14" t="inlineStr">
        <is>
          <t>EXAMPLE Lowell Fire Station</t>
        </is>
      </c>
      <c r="C9" s="14" t="inlineStr">
        <is>
          <t>Sub-bid: lockers and benches</t>
        </is>
      </c>
      <c r="D9" s="14" t="inlineStr">
        <is>
          <t>General contractor</t>
        </is>
      </c>
      <c r="E9" s="15" t="n">
        <v>46210</v>
      </c>
      <c r="F9" s="15" t="n">
        <v>46220</v>
      </c>
      <c r="G9" s="16" t="n">
        <v>31000</v>
      </c>
      <c r="H9" s="14" t="n">
        <v>9</v>
      </c>
      <c r="I9" s="14" t="inlineStr">
        <is>
          <t>No bid</t>
        </is>
      </c>
      <c r="J9" s="15" t="n"/>
      <c r="K9" s="15" t="n"/>
      <c r="L9" s="14" t="n"/>
      <c r="M9" s="14" t="inlineStr">
        <is>
          <t>No capacity that month</t>
        </is>
      </c>
      <c r="N9" s="7">
        <f>IF(OR($F9="",$B9=""),"",$F9-TODAY())</f>
        <v/>
      </c>
      <c r="O9" s="7">
        <f>IF($B9="","",IF(OR($I9="Won",$I9="Lost",$I9="No bid",$I9="Submitted"),"",IF($F9="","No due date",IF($F9&lt;TODAY(),"OVERDUE",IF($F9-TODAY()&lt;=Settings!$B$10,"Due soon","")))))</f>
        <v/>
      </c>
      <c r="P9" s="7">
        <f>IF($B9="","",IF(AND($I9="Submitted",$J9&lt;&gt;"",TODAY()-$J9&gt;Settings!$B$9),"Follow up",""))</f>
        <v/>
      </c>
      <c r="Q9" s="17">
        <f>IF($B9="","",IF((COUNTIFS($D$2:$D$200,$D9,$I$2:$I$200,"Won")+COUNTIFS($D$2:$D$200,$D9,$I$2:$I$200,"Lost"))&gt;=Settings!$B$7,COUNTIFS($D$2:$D$200,$D9,$I$2:$I$200,"Won")/(COUNTIFS($D$2:$D$200,$D9,$I$2:$I$200,"Won")+COUNTIFS($D$2:$D$200,$D9,$I$2:$I$200,"Lost")),IF((COUNTIF($I$2:$I$200,"Won")+COUNTIF($I$2:$I$200,"Lost"))&gt;0,COUNTIF($I$2:$I$200,"Won")/(COUNTIF($I$2:$I$200,"Won")+COUNTIF($I$2:$I$200,"Lost")),Settings!$B$6)))</f>
        <v/>
      </c>
      <c r="R9" s="18">
        <f>IF(OR($B9="",$G9=""),"",$G9*$Q9)</f>
        <v/>
      </c>
      <c r="S9" s="18">
        <f>IF(OR($B9="",$H9=""),"",$H9*Settings!$B$4)</f>
        <v/>
      </c>
      <c r="T9" s="18">
        <f>IF(OR($B9="",$H9="",$H9=0,$G9=""),"",$R9/$H9)</f>
        <v/>
      </c>
      <c r="U9" s="11">
        <f>IF($B9="","",IF($T9="","Add value and hours",IF($T9&gt;=Settings!$B$4*Settings!$B$8,"Worth it",IF($T9&gt;=Settings!$B$4,"Thin","Skip?"))))</f>
        <v/>
      </c>
    </row>
    <row r="10">
      <c r="A10" s="10" t="n"/>
      <c r="B10" s="10" t="n"/>
      <c r="C10" s="10" t="n"/>
      <c r="D10" s="10" t="n"/>
      <c r="E10" s="19" t="n"/>
      <c r="F10" s="19" t="n"/>
      <c r="G10" s="8" t="n"/>
      <c r="H10" s="10" t="n"/>
      <c r="I10" s="10" t="n"/>
      <c r="J10" s="19" t="n"/>
      <c r="K10" s="19" t="n"/>
      <c r="L10" s="10" t="n"/>
      <c r="M10" s="10" t="n"/>
      <c r="N10" s="7">
        <f>IF(OR($F10="",$B10=""),"",$F10-TODAY())</f>
        <v/>
      </c>
      <c r="O10" s="7">
        <f>IF($B10="","",IF(OR($I10="Won",$I10="Lost",$I10="No bid",$I10="Submitted"),"",IF($F10="","No due date",IF($F10&lt;TODAY(),"OVERDUE",IF($F10-TODAY()&lt;=Settings!$B$10,"Due soon","")))))</f>
        <v/>
      </c>
      <c r="P10" s="7">
        <f>IF($B10="","",IF(AND($I10="Submitted",$J10&lt;&gt;"",TODAY()-$J10&gt;Settings!$B$9),"Follow up",""))</f>
        <v/>
      </c>
      <c r="Q10" s="17">
        <f>IF($B10="","",IF((COUNTIFS($D$2:$D$200,$D10,$I$2:$I$200,"Won")+COUNTIFS($D$2:$D$200,$D10,$I$2:$I$200,"Lost"))&gt;=Settings!$B$7,COUNTIFS($D$2:$D$200,$D10,$I$2:$I$200,"Won")/(COUNTIFS($D$2:$D$200,$D10,$I$2:$I$200,"Won")+COUNTIFS($D$2:$D$200,$D10,$I$2:$I$200,"Lost")),IF((COUNTIF($I$2:$I$200,"Won")+COUNTIF($I$2:$I$200,"Lost"))&gt;0,COUNTIF($I$2:$I$200,"Won")/(COUNTIF($I$2:$I$200,"Won")+COUNTIF($I$2:$I$200,"Lost")),Settings!$B$6)))</f>
        <v/>
      </c>
      <c r="R10" s="18">
        <f>IF(OR($B10="",$G10=""),"",$G10*$Q10)</f>
        <v/>
      </c>
      <c r="S10" s="18">
        <f>IF(OR($B10="",$H10=""),"",$H10*Settings!$B$4)</f>
        <v/>
      </c>
      <c r="T10" s="18">
        <f>IF(OR($B10="",$H10="",$H10=0,$G10=""),"",$R10/$H10)</f>
        <v/>
      </c>
      <c r="U10" s="11">
        <f>IF($B10="","",IF($T10="","Add value and hours",IF($T10&gt;=Settings!$B$4*Settings!$B$8,"Worth it",IF($T10&gt;=Settings!$B$4,"Thin","Skip?"))))</f>
        <v/>
      </c>
    </row>
    <row r="11">
      <c r="A11" s="10" t="n"/>
      <c r="B11" s="10" t="n"/>
      <c r="C11" s="10" t="n"/>
      <c r="D11" s="10" t="n"/>
      <c r="E11" s="19" t="n"/>
      <c r="F11" s="19" t="n"/>
      <c r="G11" s="8" t="n"/>
      <c r="H11" s="10" t="n"/>
      <c r="I11" s="10" t="n"/>
      <c r="J11" s="19" t="n"/>
      <c r="K11" s="19" t="n"/>
      <c r="L11" s="10" t="n"/>
      <c r="M11" s="10" t="n"/>
      <c r="N11" s="7">
        <f>IF(OR($F11="",$B11=""),"",$F11-TODAY())</f>
        <v/>
      </c>
      <c r="O11" s="7">
        <f>IF($B11="","",IF(OR($I11="Won",$I11="Lost",$I11="No bid",$I11="Submitted"),"",IF($F11="","No due date",IF($F11&lt;TODAY(),"OVERDUE",IF($F11-TODAY()&lt;=Settings!$B$10,"Due soon","")))))</f>
        <v/>
      </c>
      <c r="P11" s="7">
        <f>IF($B11="","",IF(AND($I11="Submitted",$J11&lt;&gt;"",TODAY()-$J11&gt;Settings!$B$9),"Follow up",""))</f>
        <v/>
      </c>
      <c r="Q11" s="17">
        <f>IF($B11="","",IF((COUNTIFS($D$2:$D$200,$D11,$I$2:$I$200,"Won")+COUNTIFS($D$2:$D$200,$D11,$I$2:$I$200,"Lost"))&gt;=Settings!$B$7,COUNTIFS($D$2:$D$200,$D11,$I$2:$I$200,"Won")/(COUNTIFS($D$2:$D$200,$D11,$I$2:$I$200,"Won")+COUNTIFS($D$2:$D$200,$D11,$I$2:$I$200,"Lost")),IF((COUNTIF($I$2:$I$200,"Won")+COUNTIF($I$2:$I$200,"Lost"))&gt;0,COUNTIF($I$2:$I$200,"Won")/(COUNTIF($I$2:$I$200,"Won")+COUNTIF($I$2:$I$200,"Lost")),Settings!$B$6)))</f>
        <v/>
      </c>
      <c r="R11" s="18">
        <f>IF(OR($B11="",$G11=""),"",$G11*$Q11)</f>
        <v/>
      </c>
      <c r="S11" s="18">
        <f>IF(OR($B11="",$H11=""),"",$H11*Settings!$B$4)</f>
        <v/>
      </c>
      <c r="T11" s="18">
        <f>IF(OR($B11="",$H11="",$H11=0,$G11=""),"",$R11/$H11)</f>
        <v/>
      </c>
      <c r="U11" s="11">
        <f>IF($B11="","",IF($T11="","Add value and hours",IF($T11&gt;=Settings!$B$4*Settings!$B$8,"Worth it",IF($T11&gt;=Settings!$B$4,"Thin","Skip?"))))</f>
        <v/>
      </c>
    </row>
    <row r="12">
      <c r="A12" s="10" t="n"/>
      <c r="B12" s="10" t="n"/>
      <c r="C12" s="10" t="n"/>
      <c r="D12" s="10" t="n"/>
      <c r="E12" s="19" t="n"/>
      <c r="F12" s="19" t="n"/>
      <c r="G12" s="8" t="n"/>
      <c r="H12" s="10" t="n"/>
      <c r="I12" s="10" t="n"/>
      <c r="J12" s="19" t="n"/>
      <c r="K12" s="19" t="n"/>
      <c r="L12" s="10" t="n"/>
      <c r="M12" s="10" t="n"/>
      <c r="N12" s="7">
        <f>IF(OR($F12="",$B12=""),"",$F12-TODAY())</f>
        <v/>
      </c>
      <c r="O12" s="7">
        <f>IF($B12="","",IF(OR($I12="Won",$I12="Lost",$I12="No bid",$I12="Submitted"),"",IF($F12="","No due date",IF($F12&lt;TODAY(),"OVERDUE",IF($F12-TODAY()&lt;=Settings!$B$10,"Due soon","")))))</f>
        <v/>
      </c>
      <c r="P12" s="7">
        <f>IF($B12="","",IF(AND($I12="Submitted",$J12&lt;&gt;"",TODAY()-$J12&gt;Settings!$B$9),"Follow up",""))</f>
        <v/>
      </c>
      <c r="Q12" s="17">
        <f>IF($B12="","",IF((COUNTIFS($D$2:$D$200,$D12,$I$2:$I$200,"Won")+COUNTIFS($D$2:$D$200,$D12,$I$2:$I$200,"Lost"))&gt;=Settings!$B$7,COUNTIFS($D$2:$D$200,$D12,$I$2:$I$200,"Won")/(COUNTIFS($D$2:$D$200,$D12,$I$2:$I$200,"Won")+COUNTIFS($D$2:$D$200,$D12,$I$2:$I$200,"Lost")),IF((COUNTIF($I$2:$I$200,"Won")+COUNTIF($I$2:$I$200,"Lost"))&gt;0,COUNTIF($I$2:$I$200,"Won")/(COUNTIF($I$2:$I$200,"Won")+COUNTIF($I$2:$I$200,"Lost")),Settings!$B$6)))</f>
        <v/>
      </c>
      <c r="R12" s="18">
        <f>IF(OR($B12="",$G12=""),"",$G12*$Q12)</f>
        <v/>
      </c>
      <c r="S12" s="18">
        <f>IF(OR($B12="",$H12=""),"",$H12*Settings!$B$4)</f>
        <v/>
      </c>
      <c r="T12" s="18">
        <f>IF(OR($B12="",$H12="",$H12=0,$G12=""),"",$R12/$H12)</f>
        <v/>
      </c>
      <c r="U12" s="11">
        <f>IF($B12="","",IF($T12="","Add value and hours",IF($T12&gt;=Settings!$B$4*Settings!$B$8,"Worth it",IF($T12&gt;=Settings!$B$4,"Thin","Skip?"))))</f>
        <v/>
      </c>
    </row>
    <row r="13">
      <c r="A13" s="10" t="n"/>
      <c r="B13" s="10" t="n"/>
      <c r="C13" s="10" t="n"/>
      <c r="D13" s="10" t="n"/>
      <c r="E13" s="19" t="n"/>
      <c r="F13" s="19" t="n"/>
      <c r="G13" s="8" t="n"/>
      <c r="H13" s="10" t="n"/>
      <c r="I13" s="10" t="n"/>
      <c r="J13" s="19" t="n"/>
      <c r="K13" s="19" t="n"/>
      <c r="L13" s="10" t="n"/>
      <c r="M13" s="10" t="n"/>
      <c r="N13" s="7">
        <f>IF(OR($F13="",$B13=""),"",$F13-TODAY())</f>
        <v/>
      </c>
      <c r="O13" s="7">
        <f>IF($B13="","",IF(OR($I13="Won",$I13="Lost",$I13="No bid",$I13="Submitted"),"",IF($F13="","No due date",IF($F13&lt;TODAY(),"OVERDUE",IF($F13-TODAY()&lt;=Settings!$B$10,"Due soon","")))))</f>
        <v/>
      </c>
      <c r="P13" s="7">
        <f>IF($B13="","",IF(AND($I13="Submitted",$J13&lt;&gt;"",TODAY()-$J13&gt;Settings!$B$9),"Follow up",""))</f>
        <v/>
      </c>
      <c r="Q13" s="17">
        <f>IF($B13="","",IF((COUNTIFS($D$2:$D$200,$D13,$I$2:$I$200,"Won")+COUNTIFS($D$2:$D$200,$D13,$I$2:$I$200,"Lost"))&gt;=Settings!$B$7,COUNTIFS($D$2:$D$200,$D13,$I$2:$I$200,"Won")/(COUNTIFS($D$2:$D$200,$D13,$I$2:$I$200,"Won")+COUNTIFS($D$2:$D$200,$D13,$I$2:$I$200,"Lost")),IF((COUNTIF($I$2:$I$200,"Won")+COUNTIF($I$2:$I$200,"Lost"))&gt;0,COUNTIF($I$2:$I$200,"Won")/(COUNTIF($I$2:$I$200,"Won")+COUNTIF($I$2:$I$200,"Lost")),Settings!$B$6)))</f>
        <v/>
      </c>
      <c r="R13" s="18">
        <f>IF(OR($B13="",$G13=""),"",$G13*$Q13)</f>
        <v/>
      </c>
      <c r="S13" s="18">
        <f>IF(OR($B13="",$H13=""),"",$H13*Settings!$B$4)</f>
        <v/>
      </c>
      <c r="T13" s="18">
        <f>IF(OR($B13="",$H13="",$H13=0,$G13=""),"",$R13/$H13)</f>
        <v/>
      </c>
      <c r="U13" s="11">
        <f>IF($B13="","",IF($T13="","Add value and hours",IF($T13&gt;=Settings!$B$4*Settings!$B$8,"Worth it",IF($T13&gt;=Settings!$B$4,"Thin","Skip?"))))</f>
        <v/>
      </c>
    </row>
    <row r="14">
      <c r="A14" s="10" t="n"/>
      <c r="B14" s="10" t="n"/>
      <c r="C14" s="10" t="n"/>
      <c r="D14" s="10" t="n"/>
      <c r="E14" s="19" t="n"/>
      <c r="F14" s="19" t="n"/>
      <c r="G14" s="8" t="n"/>
      <c r="H14" s="10" t="n"/>
      <c r="I14" s="10" t="n"/>
      <c r="J14" s="19" t="n"/>
      <c r="K14" s="19" t="n"/>
      <c r="L14" s="10" t="n"/>
      <c r="M14" s="10" t="n"/>
      <c r="N14" s="7">
        <f>IF(OR($F14="",$B14=""),"",$F14-TODAY())</f>
        <v/>
      </c>
      <c r="O14" s="7">
        <f>IF($B14="","",IF(OR($I14="Won",$I14="Lost",$I14="No bid",$I14="Submitted"),"",IF($F14="","No due date",IF($F14&lt;TODAY(),"OVERDUE",IF($F14-TODAY()&lt;=Settings!$B$10,"Due soon","")))))</f>
        <v/>
      </c>
      <c r="P14" s="7">
        <f>IF($B14="","",IF(AND($I14="Submitted",$J14&lt;&gt;"",TODAY()-$J14&gt;Settings!$B$9),"Follow up",""))</f>
        <v/>
      </c>
      <c r="Q14" s="17">
        <f>IF($B14="","",IF((COUNTIFS($D$2:$D$200,$D14,$I$2:$I$200,"Won")+COUNTIFS($D$2:$D$200,$D14,$I$2:$I$200,"Lost"))&gt;=Settings!$B$7,COUNTIFS($D$2:$D$200,$D14,$I$2:$I$200,"Won")/(COUNTIFS($D$2:$D$200,$D14,$I$2:$I$200,"Won")+COUNTIFS($D$2:$D$200,$D14,$I$2:$I$200,"Lost")),IF((COUNTIF($I$2:$I$200,"Won")+COUNTIF($I$2:$I$200,"Lost"))&gt;0,COUNTIF($I$2:$I$200,"Won")/(COUNTIF($I$2:$I$200,"Won")+COUNTIF($I$2:$I$200,"Lost")),Settings!$B$6)))</f>
        <v/>
      </c>
      <c r="R14" s="18">
        <f>IF(OR($B14="",$G14=""),"",$G14*$Q14)</f>
        <v/>
      </c>
      <c r="S14" s="18">
        <f>IF(OR($B14="",$H14=""),"",$H14*Settings!$B$4)</f>
        <v/>
      </c>
      <c r="T14" s="18">
        <f>IF(OR($B14="",$H14="",$H14=0,$G14=""),"",$R14/$H14)</f>
        <v/>
      </c>
      <c r="U14" s="11">
        <f>IF($B14="","",IF($T14="","Add value and hours",IF($T14&gt;=Settings!$B$4*Settings!$B$8,"Worth it",IF($T14&gt;=Settings!$B$4,"Thin","Skip?"))))</f>
        <v/>
      </c>
    </row>
    <row r="15">
      <c r="A15" s="10" t="n"/>
      <c r="B15" s="10" t="n"/>
      <c r="C15" s="10" t="n"/>
      <c r="D15" s="10" t="n"/>
      <c r="E15" s="19" t="n"/>
      <c r="F15" s="19" t="n"/>
      <c r="G15" s="8" t="n"/>
      <c r="H15" s="10" t="n"/>
      <c r="I15" s="10" t="n"/>
      <c r="J15" s="19" t="n"/>
      <c r="K15" s="19" t="n"/>
      <c r="L15" s="10" t="n"/>
      <c r="M15" s="10" t="n"/>
      <c r="N15" s="7">
        <f>IF(OR($F15="",$B15=""),"",$F15-TODAY())</f>
        <v/>
      </c>
      <c r="O15" s="7">
        <f>IF($B15="","",IF(OR($I15="Won",$I15="Lost",$I15="No bid",$I15="Submitted"),"",IF($F15="","No due date",IF($F15&lt;TODAY(),"OVERDUE",IF($F15-TODAY()&lt;=Settings!$B$10,"Due soon","")))))</f>
        <v/>
      </c>
      <c r="P15" s="7">
        <f>IF($B15="","",IF(AND($I15="Submitted",$J15&lt;&gt;"",TODAY()-$J15&gt;Settings!$B$9),"Follow up",""))</f>
        <v/>
      </c>
      <c r="Q15" s="17">
        <f>IF($B15="","",IF((COUNTIFS($D$2:$D$200,$D15,$I$2:$I$200,"Won")+COUNTIFS($D$2:$D$200,$D15,$I$2:$I$200,"Lost"))&gt;=Settings!$B$7,COUNTIFS($D$2:$D$200,$D15,$I$2:$I$200,"Won")/(COUNTIFS($D$2:$D$200,$D15,$I$2:$I$200,"Won")+COUNTIFS($D$2:$D$200,$D15,$I$2:$I$200,"Lost")),IF((COUNTIF($I$2:$I$200,"Won")+COUNTIF($I$2:$I$200,"Lost"))&gt;0,COUNTIF($I$2:$I$200,"Won")/(COUNTIF($I$2:$I$200,"Won")+COUNTIF($I$2:$I$200,"Lost")),Settings!$B$6)))</f>
        <v/>
      </c>
      <c r="R15" s="18">
        <f>IF(OR($B15="",$G15=""),"",$G15*$Q15)</f>
        <v/>
      </c>
      <c r="S15" s="18">
        <f>IF(OR($B15="",$H15=""),"",$H15*Settings!$B$4)</f>
        <v/>
      </c>
      <c r="T15" s="18">
        <f>IF(OR($B15="",$H15="",$H15=0,$G15=""),"",$R15/$H15)</f>
        <v/>
      </c>
      <c r="U15" s="11">
        <f>IF($B15="","",IF($T15="","Add value and hours",IF($T15&gt;=Settings!$B$4*Settings!$B$8,"Worth it",IF($T15&gt;=Settings!$B$4,"Thin","Skip?"))))</f>
        <v/>
      </c>
    </row>
    <row r="16">
      <c r="A16" s="10" t="n"/>
      <c r="B16" s="10" t="n"/>
      <c r="C16" s="10" t="n"/>
      <c r="D16" s="10" t="n"/>
      <c r="E16" s="19" t="n"/>
      <c r="F16" s="19" t="n"/>
      <c r="G16" s="8" t="n"/>
      <c r="H16" s="10" t="n"/>
      <c r="I16" s="10" t="n"/>
      <c r="J16" s="19" t="n"/>
      <c r="K16" s="19" t="n"/>
      <c r="L16" s="10" t="n"/>
      <c r="M16" s="10" t="n"/>
      <c r="N16" s="7">
        <f>IF(OR($F16="",$B16=""),"",$F16-TODAY())</f>
        <v/>
      </c>
      <c r="O16" s="7">
        <f>IF($B16="","",IF(OR($I16="Won",$I16="Lost",$I16="No bid",$I16="Submitted"),"",IF($F16="","No due date",IF($F16&lt;TODAY(),"OVERDUE",IF($F16-TODAY()&lt;=Settings!$B$10,"Due soon","")))))</f>
        <v/>
      </c>
      <c r="P16" s="7">
        <f>IF($B16="","",IF(AND($I16="Submitted",$J16&lt;&gt;"",TODAY()-$J16&gt;Settings!$B$9),"Follow up",""))</f>
        <v/>
      </c>
      <c r="Q16" s="17">
        <f>IF($B16="","",IF((COUNTIFS($D$2:$D$200,$D16,$I$2:$I$200,"Won")+COUNTIFS($D$2:$D$200,$D16,$I$2:$I$200,"Lost"))&gt;=Settings!$B$7,COUNTIFS($D$2:$D$200,$D16,$I$2:$I$200,"Won")/(COUNTIFS($D$2:$D$200,$D16,$I$2:$I$200,"Won")+COUNTIFS($D$2:$D$200,$D16,$I$2:$I$200,"Lost")),IF((COUNTIF($I$2:$I$200,"Won")+COUNTIF($I$2:$I$200,"Lost"))&gt;0,COUNTIF($I$2:$I$200,"Won")/(COUNTIF($I$2:$I$200,"Won")+COUNTIF($I$2:$I$200,"Lost")),Settings!$B$6)))</f>
        <v/>
      </c>
      <c r="R16" s="18">
        <f>IF(OR($B16="",$G16=""),"",$G16*$Q16)</f>
        <v/>
      </c>
      <c r="S16" s="18">
        <f>IF(OR($B16="",$H16=""),"",$H16*Settings!$B$4)</f>
        <v/>
      </c>
      <c r="T16" s="18">
        <f>IF(OR($B16="",$H16="",$H16=0,$G16=""),"",$R16/$H16)</f>
        <v/>
      </c>
      <c r="U16" s="11">
        <f>IF($B16="","",IF($T16="","Add value and hours",IF($T16&gt;=Settings!$B$4*Settings!$B$8,"Worth it",IF($T16&gt;=Settings!$B$4,"Thin","Skip?"))))</f>
        <v/>
      </c>
    </row>
    <row r="17">
      <c r="A17" s="10" t="n"/>
      <c r="B17" s="10" t="n"/>
      <c r="C17" s="10" t="n"/>
      <c r="D17" s="10" t="n"/>
      <c r="E17" s="19" t="n"/>
      <c r="F17" s="19" t="n"/>
      <c r="G17" s="8" t="n"/>
      <c r="H17" s="10" t="n"/>
      <c r="I17" s="10" t="n"/>
      <c r="J17" s="19" t="n"/>
      <c r="K17" s="19" t="n"/>
      <c r="L17" s="10" t="n"/>
      <c r="M17" s="10" t="n"/>
      <c r="N17" s="7">
        <f>IF(OR($F17="",$B17=""),"",$F17-TODAY())</f>
        <v/>
      </c>
      <c r="O17" s="7">
        <f>IF($B17="","",IF(OR($I17="Won",$I17="Lost",$I17="No bid",$I17="Submitted"),"",IF($F17="","No due date",IF($F17&lt;TODAY(),"OVERDUE",IF($F17-TODAY()&lt;=Settings!$B$10,"Due soon","")))))</f>
        <v/>
      </c>
      <c r="P17" s="7">
        <f>IF($B17="","",IF(AND($I17="Submitted",$J17&lt;&gt;"",TODAY()-$J17&gt;Settings!$B$9),"Follow up",""))</f>
        <v/>
      </c>
      <c r="Q17" s="17">
        <f>IF($B17="","",IF((COUNTIFS($D$2:$D$200,$D17,$I$2:$I$200,"Won")+COUNTIFS($D$2:$D$200,$D17,$I$2:$I$200,"Lost"))&gt;=Settings!$B$7,COUNTIFS($D$2:$D$200,$D17,$I$2:$I$200,"Won")/(COUNTIFS($D$2:$D$200,$D17,$I$2:$I$200,"Won")+COUNTIFS($D$2:$D$200,$D17,$I$2:$I$200,"Lost")),IF((COUNTIF($I$2:$I$200,"Won")+COUNTIF($I$2:$I$200,"Lost"))&gt;0,COUNTIF($I$2:$I$200,"Won")/(COUNTIF($I$2:$I$200,"Won")+COUNTIF($I$2:$I$200,"Lost")),Settings!$B$6)))</f>
        <v/>
      </c>
      <c r="R17" s="18">
        <f>IF(OR($B17="",$G17=""),"",$G17*$Q17)</f>
        <v/>
      </c>
      <c r="S17" s="18">
        <f>IF(OR($B17="",$H17=""),"",$H17*Settings!$B$4)</f>
        <v/>
      </c>
      <c r="T17" s="18">
        <f>IF(OR($B17="",$H17="",$H17=0,$G17=""),"",$R17/$H17)</f>
        <v/>
      </c>
      <c r="U17" s="11">
        <f>IF($B17="","",IF($T17="","Add value and hours",IF($T17&gt;=Settings!$B$4*Settings!$B$8,"Worth it",IF($T17&gt;=Settings!$B$4,"Thin","Skip?"))))</f>
        <v/>
      </c>
    </row>
    <row r="18">
      <c r="A18" s="10" t="n"/>
      <c r="B18" s="10" t="n"/>
      <c r="C18" s="10" t="n"/>
      <c r="D18" s="10" t="n"/>
      <c r="E18" s="19" t="n"/>
      <c r="F18" s="19" t="n"/>
      <c r="G18" s="8" t="n"/>
      <c r="H18" s="10" t="n"/>
      <c r="I18" s="10" t="n"/>
      <c r="J18" s="19" t="n"/>
      <c r="K18" s="19" t="n"/>
      <c r="L18" s="10" t="n"/>
      <c r="M18" s="10" t="n"/>
      <c r="N18" s="7">
        <f>IF(OR($F18="",$B18=""),"",$F18-TODAY())</f>
        <v/>
      </c>
      <c r="O18" s="7">
        <f>IF($B18="","",IF(OR($I18="Won",$I18="Lost",$I18="No bid",$I18="Submitted"),"",IF($F18="","No due date",IF($F18&lt;TODAY(),"OVERDUE",IF($F18-TODAY()&lt;=Settings!$B$10,"Due soon","")))))</f>
        <v/>
      </c>
      <c r="P18" s="7">
        <f>IF($B18="","",IF(AND($I18="Submitted",$J18&lt;&gt;"",TODAY()-$J18&gt;Settings!$B$9),"Follow up",""))</f>
        <v/>
      </c>
      <c r="Q18" s="17">
        <f>IF($B18="","",IF((COUNTIFS($D$2:$D$200,$D18,$I$2:$I$200,"Won")+COUNTIFS($D$2:$D$200,$D18,$I$2:$I$200,"Lost"))&gt;=Settings!$B$7,COUNTIFS($D$2:$D$200,$D18,$I$2:$I$200,"Won")/(COUNTIFS($D$2:$D$200,$D18,$I$2:$I$200,"Won")+COUNTIFS($D$2:$D$200,$D18,$I$2:$I$200,"Lost")),IF((COUNTIF($I$2:$I$200,"Won")+COUNTIF($I$2:$I$200,"Lost"))&gt;0,COUNTIF($I$2:$I$200,"Won")/(COUNTIF($I$2:$I$200,"Won")+COUNTIF($I$2:$I$200,"Lost")),Settings!$B$6)))</f>
        <v/>
      </c>
      <c r="R18" s="18">
        <f>IF(OR($B18="",$G18=""),"",$G18*$Q18)</f>
        <v/>
      </c>
      <c r="S18" s="18">
        <f>IF(OR($B18="",$H18=""),"",$H18*Settings!$B$4)</f>
        <v/>
      </c>
      <c r="T18" s="18">
        <f>IF(OR($B18="",$H18="",$H18=0,$G18=""),"",$R18/$H18)</f>
        <v/>
      </c>
      <c r="U18" s="11">
        <f>IF($B18="","",IF($T18="","Add value and hours",IF($T18&gt;=Settings!$B$4*Settings!$B$8,"Worth it",IF($T18&gt;=Settings!$B$4,"Thin","Skip?"))))</f>
        <v/>
      </c>
    </row>
    <row r="19">
      <c r="A19" s="10" t="n"/>
      <c r="B19" s="10" t="n"/>
      <c r="C19" s="10" t="n"/>
      <c r="D19" s="10" t="n"/>
      <c r="E19" s="19" t="n"/>
      <c r="F19" s="19" t="n"/>
      <c r="G19" s="8" t="n"/>
      <c r="H19" s="10" t="n"/>
      <c r="I19" s="10" t="n"/>
      <c r="J19" s="19" t="n"/>
      <c r="K19" s="19" t="n"/>
      <c r="L19" s="10" t="n"/>
      <c r="M19" s="10" t="n"/>
      <c r="N19" s="7">
        <f>IF(OR($F19="",$B19=""),"",$F19-TODAY())</f>
        <v/>
      </c>
      <c r="O19" s="7">
        <f>IF($B19="","",IF(OR($I19="Won",$I19="Lost",$I19="No bid",$I19="Submitted"),"",IF($F19="","No due date",IF($F19&lt;TODAY(),"OVERDUE",IF($F19-TODAY()&lt;=Settings!$B$10,"Due soon","")))))</f>
        <v/>
      </c>
      <c r="P19" s="7">
        <f>IF($B19="","",IF(AND($I19="Submitted",$J19&lt;&gt;"",TODAY()-$J19&gt;Settings!$B$9),"Follow up",""))</f>
        <v/>
      </c>
      <c r="Q19" s="17">
        <f>IF($B19="","",IF((COUNTIFS($D$2:$D$200,$D19,$I$2:$I$200,"Won")+COUNTIFS($D$2:$D$200,$D19,$I$2:$I$200,"Lost"))&gt;=Settings!$B$7,COUNTIFS($D$2:$D$200,$D19,$I$2:$I$200,"Won")/(COUNTIFS($D$2:$D$200,$D19,$I$2:$I$200,"Won")+COUNTIFS($D$2:$D$200,$D19,$I$2:$I$200,"Lost")),IF((COUNTIF($I$2:$I$200,"Won")+COUNTIF($I$2:$I$200,"Lost"))&gt;0,COUNTIF($I$2:$I$200,"Won")/(COUNTIF($I$2:$I$200,"Won")+COUNTIF($I$2:$I$200,"Lost")),Settings!$B$6)))</f>
        <v/>
      </c>
      <c r="R19" s="18">
        <f>IF(OR($B19="",$G19=""),"",$G19*$Q19)</f>
        <v/>
      </c>
      <c r="S19" s="18">
        <f>IF(OR($B19="",$H19=""),"",$H19*Settings!$B$4)</f>
        <v/>
      </c>
      <c r="T19" s="18">
        <f>IF(OR($B19="",$H19="",$H19=0,$G19=""),"",$R19/$H19)</f>
        <v/>
      </c>
      <c r="U19" s="11">
        <f>IF($B19="","",IF($T19="","Add value and hours",IF($T19&gt;=Settings!$B$4*Settings!$B$8,"Worth it",IF($T19&gt;=Settings!$B$4,"Thin","Skip?"))))</f>
        <v/>
      </c>
    </row>
    <row r="20">
      <c r="A20" s="10" t="n"/>
      <c r="B20" s="10" t="n"/>
      <c r="C20" s="10" t="n"/>
      <c r="D20" s="10" t="n"/>
      <c r="E20" s="19" t="n"/>
      <c r="F20" s="19" t="n"/>
      <c r="G20" s="8" t="n"/>
      <c r="H20" s="10" t="n"/>
      <c r="I20" s="10" t="n"/>
      <c r="J20" s="19" t="n"/>
      <c r="K20" s="19" t="n"/>
      <c r="L20" s="10" t="n"/>
      <c r="M20" s="10" t="n"/>
      <c r="N20" s="7">
        <f>IF(OR($F20="",$B20=""),"",$F20-TODAY())</f>
        <v/>
      </c>
      <c r="O20" s="7">
        <f>IF($B20="","",IF(OR($I20="Won",$I20="Lost",$I20="No bid",$I20="Submitted"),"",IF($F20="","No due date",IF($F20&lt;TODAY(),"OVERDUE",IF($F20-TODAY()&lt;=Settings!$B$10,"Due soon","")))))</f>
        <v/>
      </c>
      <c r="P20" s="7">
        <f>IF($B20="","",IF(AND($I20="Submitted",$J20&lt;&gt;"",TODAY()-$J20&gt;Settings!$B$9),"Follow up",""))</f>
        <v/>
      </c>
      <c r="Q20" s="17">
        <f>IF($B20="","",IF((COUNTIFS($D$2:$D$200,$D20,$I$2:$I$200,"Won")+COUNTIFS($D$2:$D$200,$D20,$I$2:$I$200,"Lost"))&gt;=Settings!$B$7,COUNTIFS($D$2:$D$200,$D20,$I$2:$I$200,"Won")/(COUNTIFS($D$2:$D$200,$D20,$I$2:$I$200,"Won")+COUNTIFS($D$2:$D$200,$D20,$I$2:$I$200,"Lost")),IF((COUNTIF($I$2:$I$200,"Won")+COUNTIF($I$2:$I$200,"Lost"))&gt;0,COUNTIF($I$2:$I$200,"Won")/(COUNTIF($I$2:$I$200,"Won")+COUNTIF($I$2:$I$200,"Lost")),Settings!$B$6)))</f>
        <v/>
      </c>
      <c r="R20" s="18">
        <f>IF(OR($B20="",$G20=""),"",$G20*$Q20)</f>
        <v/>
      </c>
      <c r="S20" s="18">
        <f>IF(OR($B20="",$H20=""),"",$H20*Settings!$B$4)</f>
        <v/>
      </c>
      <c r="T20" s="18">
        <f>IF(OR($B20="",$H20="",$H20=0,$G20=""),"",$R20/$H20)</f>
        <v/>
      </c>
      <c r="U20" s="11">
        <f>IF($B20="","",IF($T20="","Add value and hours",IF($T20&gt;=Settings!$B$4*Settings!$B$8,"Worth it",IF($T20&gt;=Settings!$B$4,"Thin","Skip?"))))</f>
        <v/>
      </c>
    </row>
    <row r="21">
      <c r="A21" s="10" t="n"/>
      <c r="B21" s="10" t="n"/>
      <c r="C21" s="10" t="n"/>
      <c r="D21" s="10" t="n"/>
      <c r="E21" s="19" t="n"/>
      <c r="F21" s="19" t="n"/>
      <c r="G21" s="8" t="n"/>
      <c r="H21" s="10" t="n"/>
      <c r="I21" s="10" t="n"/>
      <c r="J21" s="19" t="n"/>
      <c r="K21" s="19" t="n"/>
      <c r="L21" s="10" t="n"/>
      <c r="M21" s="10" t="n"/>
      <c r="N21" s="7">
        <f>IF(OR($F21="",$B21=""),"",$F21-TODAY())</f>
        <v/>
      </c>
      <c r="O21" s="7">
        <f>IF($B21="","",IF(OR($I21="Won",$I21="Lost",$I21="No bid",$I21="Submitted"),"",IF($F21="","No due date",IF($F21&lt;TODAY(),"OVERDUE",IF($F21-TODAY()&lt;=Settings!$B$10,"Due soon","")))))</f>
        <v/>
      </c>
      <c r="P21" s="7">
        <f>IF($B21="","",IF(AND($I21="Submitted",$J21&lt;&gt;"",TODAY()-$J21&gt;Settings!$B$9),"Follow up",""))</f>
        <v/>
      </c>
      <c r="Q21" s="17">
        <f>IF($B21="","",IF((COUNTIFS($D$2:$D$200,$D21,$I$2:$I$200,"Won")+COUNTIFS($D$2:$D$200,$D21,$I$2:$I$200,"Lost"))&gt;=Settings!$B$7,COUNTIFS($D$2:$D$200,$D21,$I$2:$I$200,"Won")/(COUNTIFS($D$2:$D$200,$D21,$I$2:$I$200,"Won")+COUNTIFS($D$2:$D$200,$D21,$I$2:$I$200,"Lost")),IF((COUNTIF($I$2:$I$200,"Won")+COUNTIF($I$2:$I$200,"Lost"))&gt;0,COUNTIF($I$2:$I$200,"Won")/(COUNTIF($I$2:$I$200,"Won")+COUNTIF($I$2:$I$200,"Lost")),Settings!$B$6)))</f>
        <v/>
      </c>
      <c r="R21" s="18">
        <f>IF(OR($B21="",$G21=""),"",$G21*$Q21)</f>
        <v/>
      </c>
      <c r="S21" s="18">
        <f>IF(OR($B21="",$H21=""),"",$H21*Settings!$B$4)</f>
        <v/>
      </c>
      <c r="T21" s="18">
        <f>IF(OR($B21="",$H21="",$H21=0,$G21=""),"",$R21/$H21)</f>
        <v/>
      </c>
      <c r="U21" s="11">
        <f>IF($B21="","",IF($T21="","Add value and hours",IF($T21&gt;=Settings!$B$4*Settings!$B$8,"Worth it",IF($T21&gt;=Settings!$B$4,"Thin","Skip?"))))</f>
        <v/>
      </c>
    </row>
    <row r="22">
      <c r="A22" s="10" t="n"/>
      <c r="B22" s="10" t="n"/>
      <c r="C22" s="10" t="n"/>
      <c r="D22" s="10" t="n"/>
      <c r="E22" s="19" t="n"/>
      <c r="F22" s="19" t="n"/>
      <c r="G22" s="8" t="n"/>
      <c r="H22" s="10" t="n"/>
      <c r="I22" s="10" t="n"/>
      <c r="J22" s="19" t="n"/>
      <c r="K22" s="19" t="n"/>
      <c r="L22" s="10" t="n"/>
      <c r="M22" s="10" t="n"/>
      <c r="N22" s="7">
        <f>IF(OR($F22="",$B22=""),"",$F22-TODAY())</f>
        <v/>
      </c>
      <c r="O22" s="7">
        <f>IF($B22="","",IF(OR($I22="Won",$I22="Lost",$I22="No bid",$I22="Submitted"),"",IF($F22="","No due date",IF($F22&lt;TODAY(),"OVERDUE",IF($F22-TODAY()&lt;=Settings!$B$10,"Due soon","")))))</f>
        <v/>
      </c>
      <c r="P22" s="7">
        <f>IF($B22="","",IF(AND($I22="Submitted",$J22&lt;&gt;"",TODAY()-$J22&gt;Settings!$B$9),"Follow up",""))</f>
        <v/>
      </c>
      <c r="Q22" s="17">
        <f>IF($B22="","",IF((COUNTIFS($D$2:$D$200,$D22,$I$2:$I$200,"Won")+COUNTIFS($D$2:$D$200,$D22,$I$2:$I$200,"Lost"))&gt;=Settings!$B$7,COUNTIFS($D$2:$D$200,$D22,$I$2:$I$200,"Won")/(COUNTIFS($D$2:$D$200,$D22,$I$2:$I$200,"Won")+COUNTIFS($D$2:$D$200,$D22,$I$2:$I$200,"Lost")),IF((COUNTIF($I$2:$I$200,"Won")+COUNTIF($I$2:$I$200,"Lost"))&gt;0,COUNTIF($I$2:$I$200,"Won")/(COUNTIF($I$2:$I$200,"Won")+COUNTIF($I$2:$I$200,"Lost")),Settings!$B$6)))</f>
        <v/>
      </c>
      <c r="R22" s="18">
        <f>IF(OR($B22="",$G22=""),"",$G22*$Q22)</f>
        <v/>
      </c>
      <c r="S22" s="18">
        <f>IF(OR($B22="",$H22=""),"",$H22*Settings!$B$4)</f>
        <v/>
      </c>
      <c r="T22" s="18">
        <f>IF(OR($B22="",$H22="",$H22=0,$G22=""),"",$R22/$H22)</f>
        <v/>
      </c>
      <c r="U22" s="11">
        <f>IF($B22="","",IF($T22="","Add value and hours",IF($T22&gt;=Settings!$B$4*Settings!$B$8,"Worth it",IF($T22&gt;=Settings!$B$4,"Thin","Skip?"))))</f>
        <v/>
      </c>
    </row>
    <row r="23">
      <c r="A23" s="10" t="n"/>
      <c r="B23" s="10" t="n"/>
      <c r="C23" s="10" t="n"/>
      <c r="D23" s="10" t="n"/>
      <c r="E23" s="19" t="n"/>
      <c r="F23" s="19" t="n"/>
      <c r="G23" s="8" t="n"/>
      <c r="H23" s="10" t="n"/>
      <c r="I23" s="10" t="n"/>
      <c r="J23" s="19" t="n"/>
      <c r="K23" s="19" t="n"/>
      <c r="L23" s="10" t="n"/>
      <c r="M23" s="10" t="n"/>
      <c r="N23" s="7">
        <f>IF(OR($F23="",$B23=""),"",$F23-TODAY())</f>
        <v/>
      </c>
      <c r="O23" s="7">
        <f>IF($B23="","",IF(OR($I23="Won",$I23="Lost",$I23="No bid",$I23="Submitted"),"",IF($F23="","No due date",IF($F23&lt;TODAY(),"OVERDUE",IF($F23-TODAY()&lt;=Settings!$B$10,"Due soon","")))))</f>
        <v/>
      </c>
      <c r="P23" s="7">
        <f>IF($B23="","",IF(AND($I23="Submitted",$J23&lt;&gt;"",TODAY()-$J23&gt;Settings!$B$9),"Follow up",""))</f>
        <v/>
      </c>
      <c r="Q23" s="17">
        <f>IF($B23="","",IF((COUNTIFS($D$2:$D$200,$D23,$I$2:$I$200,"Won")+COUNTIFS($D$2:$D$200,$D23,$I$2:$I$200,"Lost"))&gt;=Settings!$B$7,COUNTIFS($D$2:$D$200,$D23,$I$2:$I$200,"Won")/(COUNTIFS($D$2:$D$200,$D23,$I$2:$I$200,"Won")+COUNTIFS($D$2:$D$200,$D23,$I$2:$I$200,"Lost")),IF((COUNTIF($I$2:$I$200,"Won")+COUNTIF($I$2:$I$200,"Lost"))&gt;0,COUNTIF($I$2:$I$200,"Won")/(COUNTIF($I$2:$I$200,"Won")+COUNTIF($I$2:$I$200,"Lost")),Settings!$B$6)))</f>
        <v/>
      </c>
      <c r="R23" s="18">
        <f>IF(OR($B23="",$G23=""),"",$G23*$Q23)</f>
        <v/>
      </c>
      <c r="S23" s="18">
        <f>IF(OR($B23="",$H23=""),"",$H23*Settings!$B$4)</f>
        <v/>
      </c>
      <c r="T23" s="18">
        <f>IF(OR($B23="",$H23="",$H23=0,$G23=""),"",$R23/$H23)</f>
        <v/>
      </c>
      <c r="U23" s="11">
        <f>IF($B23="","",IF($T23="","Add value and hours",IF($T23&gt;=Settings!$B$4*Settings!$B$8,"Worth it",IF($T23&gt;=Settings!$B$4,"Thin","Skip?"))))</f>
        <v/>
      </c>
    </row>
    <row r="24">
      <c r="A24" s="10" t="n"/>
      <c r="B24" s="10" t="n"/>
      <c r="C24" s="10" t="n"/>
      <c r="D24" s="10" t="n"/>
      <c r="E24" s="19" t="n"/>
      <c r="F24" s="19" t="n"/>
      <c r="G24" s="8" t="n"/>
      <c r="H24" s="10" t="n"/>
      <c r="I24" s="10" t="n"/>
      <c r="J24" s="19" t="n"/>
      <c r="K24" s="19" t="n"/>
      <c r="L24" s="10" t="n"/>
      <c r="M24" s="10" t="n"/>
      <c r="N24" s="7">
        <f>IF(OR($F24="",$B24=""),"",$F24-TODAY())</f>
        <v/>
      </c>
      <c r="O24" s="7">
        <f>IF($B24="","",IF(OR($I24="Won",$I24="Lost",$I24="No bid",$I24="Submitted"),"",IF($F24="","No due date",IF($F24&lt;TODAY(),"OVERDUE",IF($F24-TODAY()&lt;=Settings!$B$10,"Due soon","")))))</f>
        <v/>
      </c>
      <c r="P24" s="7">
        <f>IF($B24="","",IF(AND($I24="Submitted",$J24&lt;&gt;"",TODAY()-$J24&gt;Settings!$B$9),"Follow up",""))</f>
        <v/>
      </c>
      <c r="Q24" s="17">
        <f>IF($B24="","",IF((COUNTIFS($D$2:$D$200,$D24,$I$2:$I$200,"Won")+COUNTIFS($D$2:$D$200,$D24,$I$2:$I$200,"Lost"))&gt;=Settings!$B$7,COUNTIFS($D$2:$D$200,$D24,$I$2:$I$200,"Won")/(COUNTIFS($D$2:$D$200,$D24,$I$2:$I$200,"Won")+COUNTIFS($D$2:$D$200,$D24,$I$2:$I$200,"Lost")),IF((COUNTIF($I$2:$I$200,"Won")+COUNTIF($I$2:$I$200,"Lost"))&gt;0,COUNTIF($I$2:$I$200,"Won")/(COUNTIF($I$2:$I$200,"Won")+COUNTIF($I$2:$I$200,"Lost")),Settings!$B$6)))</f>
        <v/>
      </c>
      <c r="R24" s="18">
        <f>IF(OR($B24="",$G24=""),"",$G24*$Q24)</f>
        <v/>
      </c>
      <c r="S24" s="18">
        <f>IF(OR($B24="",$H24=""),"",$H24*Settings!$B$4)</f>
        <v/>
      </c>
      <c r="T24" s="18">
        <f>IF(OR($B24="",$H24="",$H24=0,$G24=""),"",$R24/$H24)</f>
        <v/>
      </c>
      <c r="U24" s="11">
        <f>IF($B24="","",IF($T24="","Add value and hours",IF($T24&gt;=Settings!$B$4*Settings!$B$8,"Worth it",IF($T24&gt;=Settings!$B$4,"Thin","Skip?"))))</f>
        <v/>
      </c>
    </row>
    <row r="25">
      <c r="A25" s="10" t="n"/>
      <c r="B25" s="10" t="n"/>
      <c r="C25" s="10" t="n"/>
      <c r="D25" s="10" t="n"/>
      <c r="E25" s="19" t="n"/>
      <c r="F25" s="19" t="n"/>
      <c r="G25" s="8" t="n"/>
      <c r="H25" s="10" t="n"/>
      <c r="I25" s="10" t="n"/>
      <c r="J25" s="19" t="n"/>
      <c r="K25" s="19" t="n"/>
      <c r="L25" s="10" t="n"/>
      <c r="M25" s="10" t="n"/>
      <c r="N25" s="7">
        <f>IF(OR($F25="",$B25=""),"",$F25-TODAY())</f>
        <v/>
      </c>
      <c r="O25" s="7">
        <f>IF($B25="","",IF(OR($I25="Won",$I25="Lost",$I25="No bid",$I25="Submitted"),"",IF($F25="","No due date",IF($F25&lt;TODAY(),"OVERDUE",IF($F25-TODAY()&lt;=Settings!$B$10,"Due soon","")))))</f>
        <v/>
      </c>
      <c r="P25" s="7">
        <f>IF($B25="","",IF(AND($I25="Submitted",$J25&lt;&gt;"",TODAY()-$J25&gt;Settings!$B$9),"Follow up",""))</f>
        <v/>
      </c>
      <c r="Q25" s="17">
        <f>IF($B25="","",IF((COUNTIFS($D$2:$D$200,$D25,$I$2:$I$200,"Won")+COUNTIFS($D$2:$D$200,$D25,$I$2:$I$200,"Lost"))&gt;=Settings!$B$7,COUNTIFS($D$2:$D$200,$D25,$I$2:$I$200,"Won")/(COUNTIFS($D$2:$D$200,$D25,$I$2:$I$200,"Won")+COUNTIFS($D$2:$D$200,$D25,$I$2:$I$200,"Lost")),IF((COUNTIF($I$2:$I$200,"Won")+COUNTIF($I$2:$I$200,"Lost"))&gt;0,COUNTIF($I$2:$I$200,"Won")/(COUNTIF($I$2:$I$200,"Won")+COUNTIF($I$2:$I$200,"Lost")),Settings!$B$6)))</f>
        <v/>
      </c>
      <c r="R25" s="18">
        <f>IF(OR($B25="",$G25=""),"",$G25*$Q25)</f>
        <v/>
      </c>
      <c r="S25" s="18">
        <f>IF(OR($B25="",$H25=""),"",$H25*Settings!$B$4)</f>
        <v/>
      </c>
      <c r="T25" s="18">
        <f>IF(OR($B25="",$H25="",$H25=0,$G25=""),"",$R25/$H25)</f>
        <v/>
      </c>
      <c r="U25" s="11">
        <f>IF($B25="","",IF($T25="","Add value and hours",IF($T25&gt;=Settings!$B$4*Settings!$B$8,"Worth it",IF($T25&gt;=Settings!$B$4,"Thin","Skip?"))))</f>
        <v/>
      </c>
    </row>
    <row r="26">
      <c r="A26" s="10" t="n"/>
      <c r="B26" s="10" t="n"/>
      <c r="C26" s="10" t="n"/>
      <c r="D26" s="10" t="n"/>
      <c r="E26" s="19" t="n"/>
      <c r="F26" s="19" t="n"/>
      <c r="G26" s="8" t="n"/>
      <c r="H26" s="10" t="n"/>
      <c r="I26" s="10" t="n"/>
      <c r="J26" s="19" t="n"/>
      <c r="K26" s="19" t="n"/>
      <c r="L26" s="10" t="n"/>
      <c r="M26" s="10" t="n"/>
      <c r="N26" s="7">
        <f>IF(OR($F26="",$B26=""),"",$F26-TODAY())</f>
        <v/>
      </c>
      <c r="O26" s="7">
        <f>IF($B26="","",IF(OR($I26="Won",$I26="Lost",$I26="No bid",$I26="Submitted"),"",IF($F26="","No due date",IF($F26&lt;TODAY(),"OVERDUE",IF($F26-TODAY()&lt;=Settings!$B$10,"Due soon","")))))</f>
        <v/>
      </c>
      <c r="P26" s="7">
        <f>IF($B26="","",IF(AND($I26="Submitted",$J26&lt;&gt;"",TODAY()-$J26&gt;Settings!$B$9),"Follow up",""))</f>
        <v/>
      </c>
      <c r="Q26" s="17">
        <f>IF($B26="","",IF((COUNTIFS($D$2:$D$200,$D26,$I$2:$I$200,"Won")+COUNTIFS($D$2:$D$200,$D26,$I$2:$I$200,"Lost"))&gt;=Settings!$B$7,COUNTIFS($D$2:$D$200,$D26,$I$2:$I$200,"Won")/(COUNTIFS($D$2:$D$200,$D26,$I$2:$I$200,"Won")+COUNTIFS($D$2:$D$200,$D26,$I$2:$I$200,"Lost")),IF((COUNTIF($I$2:$I$200,"Won")+COUNTIF($I$2:$I$200,"Lost"))&gt;0,COUNTIF($I$2:$I$200,"Won")/(COUNTIF($I$2:$I$200,"Won")+COUNTIF($I$2:$I$200,"Lost")),Settings!$B$6)))</f>
        <v/>
      </c>
      <c r="R26" s="18">
        <f>IF(OR($B26="",$G26=""),"",$G26*$Q26)</f>
        <v/>
      </c>
      <c r="S26" s="18">
        <f>IF(OR($B26="",$H26=""),"",$H26*Settings!$B$4)</f>
        <v/>
      </c>
      <c r="T26" s="18">
        <f>IF(OR($B26="",$H26="",$H26=0,$G26=""),"",$R26/$H26)</f>
        <v/>
      </c>
      <c r="U26" s="11">
        <f>IF($B26="","",IF($T26="","Add value and hours",IF($T26&gt;=Settings!$B$4*Settings!$B$8,"Worth it",IF($T26&gt;=Settings!$B$4,"Thin","Skip?"))))</f>
        <v/>
      </c>
    </row>
    <row r="27">
      <c r="A27" s="10" t="n"/>
      <c r="B27" s="10" t="n"/>
      <c r="C27" s="10" t="n"/>
      <c r="D27" s="10" t="n"/>
      <c r="E27" s="19" t="n"/>
      <c r="F27" s="19" t="n"/>
      <c r="G27" s="8" t="n"/>
      <c r="H27" s="10" t="n"/>
      <c r="I27" s="10" t="n"/>
      <c r="J27" s="19" t="n"/>
      <c r="K27" s="19" t="n"/>
      <c r="L27" s="10" t="n"/>
      <c r="M27" s="10" t="n"/>
      <c r="N27" s="7">
        <f>IF(OR($F27="",$B27=""),"",$F27-TODAY())</f>
        <v/>
      </c>
      <c r="O27" s="7">
        <f>IF($B27="","",IF(OR($I27="Won",$I27="Lost",$I27="No bid",$I27="Submitted"),"",IF($F27="","No due date",IF($F27&lt;TODAY(),"OVERDUE",IF($F27-TODAY()&lt;=Settings!$B$10,"Due soon","")))))</f>
        <v/>
      </c>
      <c r="P27" s="7">
        <f>IF($B27="","",IF(AND($I27="Submitted",$J27&lt;&gt;"",TODAY()-$J27&gt;Settings!$B$9),"Follow up",""))</f>
        <v/>
      </c>
      <c r="Q27" s="17">
        <f>IF($B27="","",IF((COUNTIFS($D$2:$D$200,$D27,$I$2:$I$200,"Won")+COUNTIFS($D$2:$D$200,$D27,$I$2:$I$200,"Lost"))&gt;=Settings!$B$7,COUNTIFS($D$2:$D$200,$D27,$I$2:$I$200,"Won")/(COUNTIFS($D$2:$D$200,$D27,$I$2:$I$200,"Won")+COUNTIFS($D$2:$D$200,$D27,$I$2:$I$200,"Lost")),IF((COUNTIF($I$2:$I$200,"Won")+COUNTIF($I$2:$I$200,"Lost"))&gt;0,COUNTIF($I$2:$I$200,"Won")/(COUNTIF($I$2:$I$200,"Won")+COUNTIF($I$2:$I$200,"Lost")),Settings!$B$6)))</f>
        <v/>
      </c>
      <c r="R27" s="18">
        <f>IF(OR($B27="",$G27=""),"",$G27*$Q27)</f>
        <v/>
      </c>
      <c r="S27" s="18">
        <f>IF(OR($B27="",$H27=""),"",$H27*Settings!$B$4)</f>
        <v/>
      </c>
      <c r="T27" s="18">
        <f>IF(OR($B27="",$H27="",$H27=0,$G27=""),"",$R27/$H27)</f>
        <v/>
      </c>
      <c r="U27" s="11">
        <f>IF($B27="","",IF($T27="","Add value and hours",IF($T27&gt;=Settings!$B$4*Settings!$B$8,"Worth it",IF($T27&gt;=Settings!$B$4,"Thin","Skip?"))))</f>
        <v/>
      </c>
    </row>
    <row r="28">
      <c r="A28" s="10" t="n"/>
      <c r="B28" s="10" t="n"/>
      <c r="C28" s="10" t="n"/>
      <c r="D28" s="10" t="n"/>
      <c r="E28" s="19" t="n"/>
      <c r="F28" s="19" t="n"/>
      <c r="G28" s="8" t="n"/>
      <c r="H28" s="10" t="n"/>
      <c r="I28" s="10" t="n"/>
      <c r="J28" s="19" t="n"/>
      <c r="K28" s="19" t="n"/>
      <c r="L28" s="10" t="n"/>
      <c r="M28" s="10" t="n"/>
      <c r="N28" s="7">
        <f>IF(OR($F28="",$B28=""),"",$F28-TODAY())</f>
        <v/>
      </c>
      <c r="O28" s="7">
        <f>IF($B28="","",IF(OR($I28="Won",$I28="Lost",$I28="No bid",$I28="Submitted"),"",IF($F28="","No due date",IF($F28&lt;TODAY(),"OVERDUE",IF($F28-TODAY()&lt;=Settings!$B$10,"Due soon","")))))</f>
        <v/>
      </c>
      <c r="P28" s="7">
        <f>IF($B28="","",IF(AND($I28="Submitted",$J28&lt;&gt;"",TODAY()-$J28&gt;Settings!$B$9),"Follow up",""))</f>
        <v/>
      </c>
      <c r="Q28" s="17">
        <f>IF($B28="","",IF((COUNTIFS($D$2:$D$200,$D28,$I$2:$I$200,"Won")+COUNTIFS($D$2:$D$200,$D28,$I$2:$I$200,"Lost"))&gt;=Settings!$B$7,COUNTIFS($D$2:$D$200,$D28,$I$2:$I$200,"Won")/(COUNTIFS($D$2:$D$200,$D28,$I$2:$I$200,"Won")+COUNTIFS($D$2:$D$200,$D28,$I$2:$I$200,"Lost")),IF((COUNTIF($I$2:$I$200,"Won")+COUNTIF($I$2:$I$200,"Lost"))&gt;0,COUNTIF($I$2:$I$200,"Won")/(COUNTIF($I$2:$I$200,"Won")+COUNTIF($I$2:$I$200,"Lost")),Settings!$B$6)))</f>
        <v/>
      </c>
      <c r="R28" s="18">
        <f>IF(OR($B28="",$G28=""),"",$G28*$Q28)</f>
        <v/>
      </c>
      <c r="S28" s="18">
        <f>IF(OR($B28="",$H28=""),"",$H28*Settings!$B$4)</f>
        <v/>
      </c>
      <c r="T28" s="18">
        <f>IF(OR($B28="",$H28="",$H28=0,$G28=""),"",$R28/$H28)</f>
        <v/>
      </c>
      <c r="U28" s="11">
        <f>IF($B28="","",IF($T28="","Add value and hours",IF($T28&gt;=Settings!$B$4*Settings!$B$8,"Worth it",IF($T28&gt;=Settings!$B$4,"Thin","Skip?"))))</f>
        <v/>
      </c>
    </row>
    <row r="29">
      <c r="A29" s="10" t="n"/>
      <c r="B29" s="10" t="n"/>
      <c r="C29" s="10" t="n"/>
      <c r="D29" s="10" t="n"/>
      <c r="E29" s="19" t="n"/>
      <c r="F29" s="19" t="n"/>
      <c r="G29" s="8" t="n"/>
      <c r="H29" s="10" t="n"/>
      <c r="I29" s="10" t="n"/>
      <c r="J29" s="19" t="n"/>
      <c r="K29" s="19" t="n"/>
      <c r="L29" s="10" t="n"/>
      <c r="M29" s="10" t="n"/>
      <c r="N29" s="7">
        <f>IF(OR($F29="",$B29=""),"",$F29-TODAY())</f>
        <v/>
      </c>
      <c r="O29" s="7">
        <f>IF($B29="","",IF(OR($I29="Won",$I29="Lost",$I29="No bid",$I29="Submitted"),"",IF($F29="","No due date",IF($F29&lt;TODAY(),"OVERDUE",IF($F29-TODAY()&lt;=Settings!$B$10,"Due soon","")))))</f>
        <v/>
      </c>
      <c r="P29" s="7">
        <f>IF($B29="","",IF(AND($I29="Submitted",$J29&lt;&gt;"",TODAY()-$J29&gt;Settings!$B$9),"Follow up",""))</f>
        <v/>
      </c>
      <c r="Q29" s="17">
        <f>IF($B29="","",IF((COUNTIFS($D$2:$D$200,$D29,$I$2:$I$200,"Won")+COUNTIFS($D$2:$D$200,$D29,$I$2:$I$200,"Lost"))&gt;=Settings!$B$7,COUNTIFS($D$2:$D$200,$D29,$I$2:$I$200,"Won")/(COUNTIFS($D$2:$D$200,$D29,$I$2:$I$200,"Won")+COUNTIFS($D$2:$D$200,$D29,$I$2:$I$200,"Lost")),IF((COUNTIF($I$2:$I$200,"Won")+COUNTIF($I$2:$I$200,"Lost"))&gt;0,COUNTIF($I$2:$I$200,"Won")/(COUNTIF($I$2:$I$200,"Won")+COUNTIF($I$2:$I$200,"Lost")),Settings!$B$6)))</f>
        <v/>
      </c>
      <c r="R29" s="18">
        <f>IF(OR($B29="",$G29=""),"",$G29*$Q29)</f>
        <v/>
      </c>
      <c r="S29" s="18">
        <f>IF(OR($B29="",$H29=""),"",$H29*Settings!$B$4)</f>
        <v/>
      </c>
      <c r="T29" s="18">
        <f>IF(OR($B29="",$H29="",$H29=0,$G29=""),"",$R29/$H29)</f>
        <v/>
      </c>
      <c r="U29" s="11">
        <f>IF($B29="","",IF($T29="","Add value and hours",IF($T29&gt;=Settings!$B$4*Settings!$B$8,"Worth it",IF($T29&gt;=Settings!$B$4,"Thin","Skip?"))))</f>
        <v/>
      </c>
    </row>
    <row r="30">
      <c r="A30" s="10" t="n"/>
      <c r="B30" s="10" t="n"/>
      <c r="C30" s="10" t="n"/>
      <c r="D30" s="10" t="n"/>
      <c r="E30" s="19" t="n"/>
      <c r="F30" s="19" t="n"/>
      <c r="G30" s="8" t="n"/>
      <c r="H30" s="10" t="n"/>
      <c r="I30" s="10" t="n"/>
      <c r="J30" s="19" t="n"/>
      <c r="K30" s="19" t="n"/>
      <c r="L30" s="10" t="n"/>
      <c r="M30" s="10" t="n"/>
      <c r="N30" s="7">
        <f>IF(OR($F30="",$B30=""),"",$F30-TODAY())</f>
        <v/>
      </c>
      <c r="O30" s="7">
        <f>IF($B30="","",IF(OR($I30="Won",$I30="Lost",$I30="No bid",$I30="Submitted"),"",IF($F30="","No due date",IF($F30&lt;TODAY(),"OVERDUE",IF($F30-TODAY()&lt;=Settings!$B$10,"Due soon","")))))</f>
        <v/>
      </c>
      <c r="P30" s="7">
        <f>IF($B30="","",IF(AND($I30="Submitted",$J30&lt;&gt;"",TODAY()-$J30&gt;Settings!$B$9),"Follow up",""))</f>
        <v/>
      </c>
      <c r="Q30" s="17">
        <f>IF($B30="","",IF((COUNTIFS($D$2:$D$200,$D30,$I$2:$I$200,"Won")+COUNTIFS($D$2:$D$200,$D30,$I$2:$I$200,"Lost"))&gt;=Settings!$B$7,COUNTIFS($D$2:$D$200,$D30,$I$2:$I$200,"Won")/(COUNTIFS($D$2:$D$200,$D30,$I$2:$I$200,"Won")+COUNTIFS($D$2:$D$200,$D30,$I$2:$I$200,"Lost")),IF((COUNTIF($I$2:$I$200,"Won")+COUNTIF($I$2:$I$200,"Lost"))&gt;0,COUNTIF($I$2:$I$200,"Won")/(COUNTIF($I$2:$I$200,"Won")+COUNTIF($I$2:$I$200,"Lost")),Settings!$B$6)))</f>
        <v/>
      </c>
      <c r="R30" s="18">
        <f>IF(OR($B30="",$G30=""),"",$G30*$Q30)</f>
        <v/>
      </c>
      <c r="S30" s="18">
        <f>IF(OR($B30="",$H30=""),"",$H30*Settings!$B$4)</f>
        <v/>
      </c>
      <c r="T30" s="18">
        <f>IF(OR($B30="",$H30="",$H30=0,$G30=""),"",$R30/$H30)</f>
        <v/>
      </c>
      <c r="U30" s="11">
        <f>IF($B30="","",IF($T30="","Add value and hours",IF($T30&gt;=Settings!$B$4*Settings!$B$8,"Worth it",IF($T30&gt;=Settings!$B$4,"Thin","Skip?"))))</f>
        <v/>
      </c>
    </row>
    <row r="31">
      <c r="A31" s="10" t="n"/>
      <c r="B31" s="10" t="n"/>
      <c r="C31" s="10" t="n"/>
      <c r="D31" s="10" t="n"/>
      <c r="E31" s="19" t="n"/>
      <c r="F31" s="19" t="n"/>
      <c r="G31" s="8" t="n"/>
      <c r="H31" s="10" t="n"/>
      <c r="I31" s="10" t="n"/>
      <c r="J31" s="19" t="n"/>
      <c r="K31" s="19" t="n"/>
      <c r="L31" s="10" t="n"/>
      <c r="M31" s="10" t="n"/>
      <c r="N31" s="7">
        <f>IF(OR($F31="",$B31=""),"",$F31-TODAY())</f>
        <v/>
      </c>
      <c r="O31" s="7">
        <f>IF($B31="","",IF(OR($I31="Won",$I31="Lost",$I31="No bid",$I31="Submitted"),"",IF($F31="","No due date",IF($F31&lt;TODAY(),"OVERDUE",IF($F31-TODAY()&lt;=Settings!$B$10,"Due soon","")))))</f>
        <v/>
      </c>
      <c r="P31" s="7">
        <f>IF($B31="","",IF(AND($I31="Submitted",$J31&lt;&gt;"",TODAY()-$J31&gt;Settings!$B$9),"Follow up",""))</f>
        <v/>
      </c>
      <c r="Q31" s="17">
        <f>IF($B31="","",IF((COUNTIFS($D$2:$D$200,$D31,$I$2:$I$200,"Won")+COUNTIFS($D$2:$D$200,$D31,$I$2:$I$200,"Lost"))&gt;=Settings!$B$7,COUNTIFS($D$2:$D$200,$D31,$I$2:$I$200,"Won")/(COUNTIFS($D$2:$D$200,$D31,$I$2:$I$200,"Won")+COUNTIFS($D$2:$D$200,$D31,$I$2:$I$200,"Lost")),IF((COUNTIF($I$2:$I$200,"Won")+COUNTIF($I$2:$I$200,"Lost"))&gt;0,COUNTIF($I$2:$I$200,"Won")/(COUNTIF($I$2:$I$200,"Won")+COUNTIF($I$2:$I$200,"Lost")),Settings!$B$6)))</f>
        <v/>
      </c>
      <c r="R31" s="18">
        <f>IF(OR($B31="",$G31=""),"",$G31*$Q31)</f>
        <v/>
      </c>
      <c r="S31" s="18">
        <f>IF(OR($B31="",$H31=""),"",$H31*Settings!$B$4)</f>
        <v/>
      </c>
      <c r="T31" s="18">
        <f>IF(OR($B31="",$H31="",$H31=0,$G31=""),"",$R31/$H31)</f>
        <v/>
      </c>
      <c r="U31" s="11">
        <f>IF($B31="","",IF($T31="","Add value and hours",IF($T31&gt;=Settings!$B$4*Settings!$B$8,"Worth it",IF($T31&gt;=Settings!$B$4,"Thin","Skip?"))))</f>
        <v/>
      </c>
    </row>
    <row r="32">
      <c r="A32" s="10" t="n"/>
      <c r="B32" s="10" t="n"/>
      <c r="C32" s="10" t="n"/>
      <c r="D32" s="10" t="n"/>
      <c r="E32" s="19" t="n"/>
      <c r="F32" s="19" t="n"/>
      <c r="G32" s="8" t="n"/>
      <c r="H32" s="10" t="n"/>
      <c r="I32" s="10" t="n"/>
      <c r="J32" s="19" t="n"/>
      <c r="K32" s="19" t="n"/>
      <c r="L32" s="10" t="n"/>
      <c r="M32" s="10" t="n"/>
      <c r="N32" s="7">
        <f>IF(OR($F32="",$B32=""),"",$F32-TODAY())</f>
        <v/>
      </c>
      <c r="O32" s="7">
        <f>IF($B32="","",IF(OR($I32="Won",$I32="Lost",$I32="No bid",$I32="Submitted"),"",IF($F32="","No due date",IF($F32&lt;TODAY(),"OVERDUE",IF($F32-TODAY()&lt;=Settings!$B$10,"Due soon","")))))</f>
        <v/>
      </c>
      <c r="P32" s="7">
        <f>IF($B32="","",IF(AND($I32="Submitted",$J32&lt;&gt;"",TODAY()-$J32&gt;Settings!$B$9),"Follow up",""))</f>
        <v/>
      </c>
      <c r="Q32" s="17">
        <f>IF($B32="","",IF((COUNTIFS($D$2:$D$200,$D32,$I$2:$I$200,"Won")+COUNTIFS($D$2:$D$200,$D32,$I$2:$I$200,"Lost"))&gt;=Settings!$B$7,COUNTIFS($D$2:$D$200,$D32,$I$2:$I$200,"Won")/(COUNTIFS($D$2:$D$200,$D32,$I$2:$I$200,"Won")+COUNTIFS($D$2:$D$200,$D32,$I$2:$I$200,"Lost")),IF((COUNTIF($I$2:$I$200,"Won")+COUNTIF($I$2:$I$200,"Lost"))&gt;0,COUNTIF($I$2:$I$200,"Won")/(COUNTIF($I$2:$I$200,"Won")+COUNTIF($I$2:$I$200,"Lost")),Settings!$B$6)))</f>
        <v/>
      </c>
      <c r="R32" s="18">
        <f>IF(OR($B32="",$G32=""),"",$G32*$Q32)</f>
        <v/>
      </c>
      <c r="S32" s="18">
        <f>IF(OR($B32="",$H32=""),"",$H32*Settings!$B$4)</f>
        <v/>
      </c>
      <c r="T32" s="18">
        <f>IF(OR($B32="",$H32="",$H32=0,$G32=""),"",$R32/$H32)</f>
        <v/>
      </c>
      <c r="U32" s="11">
        <f>IF($B32="","",IF($T32="","Add value and hours",IF($T32&gt;=Settings!$B$4*Settings!$B$8,"Worth it",IF($T32&gt;=Settings!$B$4,"Thin","Skip?"))))</f>
        <v/>
      </c>
    </row>
    <row r="33">
      <c r="A33" s="10" t="n"/>
      <c r="B33" s="10" t="n"/>
      <c r="C33" s="10" t="n"/>
      <c r="D33" s="10" t="n"/>
      <c r="E33" s="19" t="n"/>
      <c r="F33" s="19" t="n"/>
      <c r="G33" s="8" t="n"/>
      <c r="H33" s="10" t="n"/>
      <c r="I33" s="10" t="n"/>
      <c r="J33" s="19" t="n"/>
      <c r="K33" s="19" t="n"/>
      <c r="L33" s="10" t="n"/>
      <c r="M33" s="10" t="n"/>
      <c r="N33" s="7">
        <f>IF(OR($F33="",$B33=""),"",$F33-TODAY())</f>
        <v/>
      </c>
      <c r="O33" s="7">
        <f>IF($B33="","",IF(OR($I33="Won",$I33="Lost",$I33="No bid",$I33="Submitted"),"",IF($F33="","No due date",IF($F33&lt;TODAY(),"OVERDUE",IF($F33-TODAY()&lt;=Settings!$B$10,"Due soon","")))))</f>
        <v/>
      </c>
      <c r="P33" s="7">
        <f>IF($B33="","",IF(AND($I33="Submitted",$J33&lt;&gt;"",TODAY()-$J33&gt;Settings!$B$9),"Follow up",""))</f>
        <v/>
      </c>
      <c r="Q33" s="17">
        <f>IF($B33="","",IF((COUNTIFS($D$2:$D$200,$D33,$I$2:$I$200,"Won")+COUNTIFS($D$2:$D$200,$D33,$I$2:$I$200,"Lost"))&gt;=Settings!$B$7,COUNTIFS($D$2:$D$200,$D33,$I$2:$I$200,"Won")/(COUNTIFS($D$2:$D$200,$D33,$I$2:$I$200,"Won")+COUNTIFS($D$2:$D$200,$D33,$I$2:$I$200,"Lost")),IF((COUNTIF($I$2:$I$200,"Won")+COUNTIF($I$2:$I$200,"Lost"))&gt;0,COUNTIF($I$2:$I$200,"Won")/(COUNTIF($I$2:$I$200,"Won")+COUNTIF($I$2:$I$200,"Lost")),Settings!$B$6)))</f>
        <v/>
      </c>
      <c r="R33" s="18">
        <f>IF(OR($B33="",$G33=""),"",$G33*$Q33)</f>
        <v/>
      </c>
      <c r="S33" s="18">
        <f>IF(OR($B33="",$H33=""),"",$H33*Settings!$B$4)</f>
        <v/>
      </c>
      <c r="T33" s="18">
        <f>IF(OR($B33="",$H33="",$H33=0,$G33=""),"",$R33/$H33)</f>
        <v/>
      </c>
      <c r="U33" s="11">
        <f>IF($B33="","",IF($T33="","Add value and hours",IF($T33&gt;=Settings!$B$4*Settings!$B$8,"Worth it",IF($T33&gt;=Settings!$B$4,"Thin","Skip?"))))</f>
        <v/>
      </c>
    </row>
    <row r="34">
      <c r="A34" s="10" t="n"/>
      <c r="B34" s="10" t="n"/>
      <c r="C34" s="10" t="n"/>
      <c r="D34" s="10" t="n"/>
      <c r="E34" s="19" t="n"/>
      <c r="F34" s="19" t="n"/>
      <c r="G34" s="8" t="n"/>
      <c r="H34" s="10" t="n"/>
      <c r="I34" s="10" t="n"/>
      <c r="J34" s="19" t="n"/>
      <c r="K34" s="19" t="n"/>
      <c r="L34" s="10" t="n"/>
      <c r="M34" s="10" t="n"/>
      <c r="N34" s="7">
        <f>IF(OR($F34="",$B34=""),"",$F34-TODAY())</f>
        <v/>
      </c>
      <c r="O34" s="7">
        <f>IF($B34="","",IF(OR($I34="Won",$I34="Lost",$I34="No bid",$I34="Submitted"),"",IF($F34="","No due date",IF($F34&lt;TODAY(),"OVERDUE",IF($F34-TODAY()&lt;=Settings!$B$10,"Due soon","")))))</f>
        <v/>
      </c>
      <c r="P34" s="7">
        <f>IF($B34="","",IF(AND($I34="Submitted",$J34&lt;&gt;"",TODAY()-$J34&gt;Settings!$B$9),"Follow up",""))</f>
        <v/>
      </c>
      <c r="Q34" s="17">
        <f>IF($B34="","",IF((COUNTIFS($D$2:$D$200,$D34,$I$2:$I$200,"Won")+COUNTIFS($D$2:$D$200,$D34,$I$2:$I$200,"Lost"))&gt;=Settings!$B$7,COUNTIFS($D$2:$D$200,$D34,$I$2:$I$200,"Won")/(COUNTIFS($D$2:$D$200,$D34,$I$2:$I$200,"Won")+COUNTIFS($D$2:$D$200,$D34,$I$2:$I$200,"Lost")),IF((COUNTIF($I$2:$I$200,"Won")+COUNTIF($I$2:$I$200,"Lost"))&gt;0,COUNTIF($I$2:$I$200,"Won")/(COUNTIF($I$2:$I$200,"Won")+COUNTIF($I$2:$I$200,"Lost")),Settings!$B$6)))</f>
        <v/>
      </c>
      <c r="R34" s="18">
        <f>IF(OR($B34="",$G34=""),"",$G34*$Q34)</f>
        <v/>
      </c>
      <c r="S34" s="18">
        <f>IF(OR($B34="",$H34=""),"",$H34*Settings!$B$4)</f>
        <v/>
      </c>
      <c r="T34" s="18">
        <f>IF(OR($B34="",$H34="",$H34=0,$G34=""),"",$R34/$H34)</f>
        <v/>
      </c>
      <c r="U34" s="11">
        <f>IF($B34="","",IF($T34="","Add value and hours",IF($T34&gt;=Settings!$B$4*Settings!$B$8,"Worth it",IF($T34&gt;=Settings!$B$4,"Thin","Skip?"))))</f>
        <v/>
      </c>
    </row>
    <row r="35">
      <c r="A35" s="10" t="n"/>
      <c r="B35" s="10" t="n"/>
      <c r="C35" s="10" t="n"/>
      <c r="D35" s="10" t="n"/>
      <c r="E35" s="19" t="n"/>
      <c r="F35" s="19" t="n"/>
      <c r="G35" s="8" t="n"/>
      <c r="H35" s="10" t="n"/>
      <c r="I35" s="10" t="n"/>
      <c r="J35" s="19" t="n"/>
      <c r="K35" s="19" t="n"/>
      <c r="L35" s="10" t="n"/>
      <c r="M35" s="10" t="n"/>
      <c r="N35" s="7">
        <f>IF(OR($F35="",$B35=""),"",$F35-TODAY())</f>
        <v/>
      </c>
      <c r="O35" s="7">
        <f>IF($B35="","",IF(OR($I35="Won",$I35="Lost",$I35="No bid",$I35="Submitted"),"",IF($F35="","No due date",IF($F35&lt;TODAY(),"OVERDUE",IF($F35-TODAY()&lt;=Settings!$B$10,"Due soon","")))))</f>
        <v/>
      </c>
      <c r="P35" s="7">
        <f>IF($B35="","",IF(AND($I35="Submitted",$J35&lt;&gt;"",TODAY()-$J35&gt;Settings!$B$9),"Follow up",""))</f>
        <v/>
      </c>
      <c r="Q35" s="17">
        <f>IF($B35="","",IF((COUNTIFS($D$2:$D$200,$D35,$I$2:$I$200,"Won")+COUNTIFS($D$2:$D$200,$D35,$I$2:$I$200,"Lost"))&gt;=Settings!$B$7,COUNTIFS($D$2:$D$200,$D35,$I$2:$I$200,"Won")/(COUNTIFS($D$2:$D$200,$D35,$I$2:$I$200,"Won")+COUNTIFS($D$2:$D$200,$D35,$I$2:$I$200,"Lost")),IF((COUNTIF($I$2:$I$200,"Won")+COUNTIF($I$2:$I$200,"Lost"))&gt;0,COUNTIF($I$2:$I$200,"Won")/(COUNTIF($I$2:$I$200,"Won")+COUNTIF($I$2:$I$200,"Lost")),Settings!$B$6)))</f>
        <v/>
      </c>
      <c r="R35" s="18">
        <f>IF(OR($B35="",$G35=""),"",$G35*$Q35)</f>
        <v/>
      </c>
      <c r="S35" s="18">
        <f>IF(OR($B35="",$H35=""),"",$H35*Settings!$B$4)</f>
        <v/>
      </c>
      <c r="T35" s="18">
        <f>IF(OR($B35="",$H35="",$H35=0,$G35=""),"",$R35/$H35)</f>
        <v/>
      </c>
      <c r="U35" s="11">
        <f>IF($B35="","",IF($T35="","Add value and hours",IF($T35&gt;=Settings!$B$4*Settings!$B$8,"Worth it",IF($T35&gt;=Settings!$B$4,"Thin","Skip?"))))</f>
        <v/>
      </c>
    </row>
    <row r="36">
      <c r="A36" s="10" t="n"/>
      <c r="B36" s="10" t="n"/>
      <c r="C36" s="10" t="n"/>
      <c r="D36" s="10" t="n"/>
      <c r="E36" s="19" t="n"/>
      <c r="F36" s="19" t="n"/>
      <c r="G36" s="8" t="n"/>
      <c r="H36" s="10" t="n"/>
      <c r="I36" s="10" t="n"/>
      <c r="J36" s="19" t="n"/>
      <c r="K36" s="19" t="n"/>
      <c r="L36" s="10" t="n"/>
      <c r="M36" s="10" t="n"/>
      <c r="N36" s="7">
        <f>IF(OR($F36="",$B36=""),"",$F36-TODAY())</f>
        <v/>
      </c>
      <c r="O36" s="7">
        <f>IF($B36="","",IF(OR($I36="Won",$I36="Lost",$I36="No bid",$I36="Submitted"),"",IF($F36="","No due date",IF($F36&lt;TODAY(),"OVERDUE",IF($F36-TODAY()&lt;=Settings!$B$10,"Due soon","")))))</f>
        <v/>
      </c>
      <c r="P36" s="7">
        <f>IF($B36="","",IF(AND($I36="Submitted",$J36&lt;&gt;"",TODAY()-$J36&gt;Settings!$B$9),"Follow up",""))</f>
        <v/>
      </c>
      <c r="Q36" s="17">
        <f>IF($B36="","",IF((COUNTIFS($D$2:$D$200,$D36,$I$2:$I$200,"Won")+COUNTIFS($D$2:$D$200,$D36,$I$2:$I$200,"Lost"))&gt;=Settings!$B$7,COUNTIFS($D$2:$D$200,$D36,$I$2:$I$200,"Won")/(COUNTIFS($D$2:$D$200,$D36,$I$2:$I$200,"Won")+COUNTIFS($D$2:$D$200,$D36,$I$2:$I$200,"Lost")),IF((COUNTIF($I$2:$I$200,"Won")+COUNTIF($I$2:$I$200,"Lost"))&gt;0,COUNTIF($I$2:$I$200,"Won")/(COUNTIF($I$2:$I$200,"Won")+COUNTIF($I$2:$I$200,"Lost")),Settings!$B$6)))</f>
        <v/>
      </c>
      <c r="R36" s="18">
        <f>IF(OR($B36="",$G36=""),"",$G36*$Q36)</f>
        <v/>
      </c>
      <c r="S36" s="18">
        <f>IF(OR($B36="",$H36=""),"",$H36*Settings!$B$4)</f>
        <v/>
      </c>
      <c r="T36" s="18">
        <f>IF(OR($B36="",$H36="",$H36=0,$G36=""),"",$R36/$H36)</f>
        <v/>
      </c>
      <c r="U36" s="11">
        <f>IF($B36="","",IF($T36="","Add value and hours",IF($T36&gt;=Settings!$B$4*Settings!$B$8,"Worth it",IF($T36&gt;=Settings!$B$4,"Thin","Skip?"))))</f>
        <v/>
      </c>
    </row>
    <row r="37">
      <c r="A37" s="10" t="n"/>
      <c r="B37" s="10" t="n"/>
      <c r="C37" s="10" t="n"/>
      <c r="D37" s="10" t="n"/>
      <c r="E37" s="19" t="n"/>
      <c r="F37" s="19" t="n"/>
      <c r="G37" s="8" t="n"/>
      <c r="H37" s="10" t="n"/>
      <c r="I37" s="10" t="n"/>
      <c r="J37" s="19" t="n"/>
      <c r="K37" s="19" t="n"/>
      <c r="L37" s="10" t="n"/>
      <c r="M37" s="10" t="n"/>
      <c r="N37" s="7">
        <f>IF(OR($F37="",$B37=""),"",$F37-TODAY())</f>
        <v/>
      </c>
      <c r="O37" s="7">
        <f>IF($B37="","",IF(OR($I37="Won",$I37="Lost",$I37="No bid",$I37="Submitted"),"",IF($F37="","No due date",IF($F37&lt;TODAY(),"OVERDUE",IF($F37-TODAY()&lt;=Settings!$B$10,"Due soon","")))))</f>
        <v/>
      </c>
      <c r="P37" s="7">
        <f>IF($B37="","",IF(AND($I37="Submitted",$J37&lt;&gt;"",TODAY()-$J37&gt;Settings!$B$9),"Follow up",""))</f>
        <v/>
      </c>
      <c r="Q37" s="17">
        <f>IF($B37="","",IF((COUNTIFS($D$2:$D$200,$D37,$I$2:$I$200,"Won")+COUNTIFS($D$2:$D$200,$D37,$I$2:$I$200,"Lost"))&gt;=Settings!$B$7,COUNTIFS($D$2:$D$200,$D37,$I$2:$I$200,"Won")/(COUNTIFS($D$2:$D$200,$D37,$I$2:$I$200,"Won")+COUNTIFS($D$2:$D$200,$D37,$I$2:$I$200,"Lost")),IF((COUNTIF($I$2:$I$200,"Won")+COUNTIF($I$2:$I$200,"Lost"))&gt;0,COUNTIF($I$2:$I$200,"Won")/(COUNTIF($I$2:$I$200,"Won")+COUNTIF($I$2:$I$200,"Lost")),Settings!$B$6)))</f>
        <v/>
      </c>
      <c r="R37" s="18">
        <f>IF(OR($B37="",$G37=""),"",$G37*$Q37)</f>
        <v/>
      </c>
      <c r="S37" s="18">
        <f>IF(OR($B37="",$H37=""),"",$H37*Settings!$B$4)</f>
        <v/>
      </c>
      <c r="T37" s="18">
        <f>IF(OR($B37="",$H37="",$H37=0,$G37=""),"",$R37/$H37)</f>
        <v/>
      </c>
      <c r="U37" s="11">
        <f>IF($B37="","",IF($T37="","Add value and hours",IF($T37&gt;=Settings!$B$4*Settings!$B$8,"Worth it",IF($T37&gt;=Settings!$B$4,"Thin","Skip?"))))</f>
        <v/>
      </c>
    </row>
    <row r="38">
      <c r="A38" s="10" t="n"/>
      <c r="B38" s="10" t="n"/>
      <c r="C38" s="10" t="n"/>
      <c r="D38" s="10" t="n"/>
      <c r="E38" s="19" t="n"/>
      <c r="F38" s="19" t="n"/>
      <c r="G38" s="8" t="n"/>
      <c r="H38" s="10" t="n"/>
      <c r="I38" s="10" t="n"/>
      <c r="J38" s="19" t="n"/>
      <c r="K38" s="19" t="n"/>
      <c r="L38" s="10" t="n"/>
      <c r="M38" s="10" t="n"/>
      <c r="N38" s="7">
        <f>IF(OR($F38="",$B38=""),"",$F38-TODAY())</f>
        <v/>
      </c>
      <c r="O38" s="7">
        <f>IF($B38="","",IF(OR($I38="Won",$I38="Lost",$I38="No bid",$I38="Submitted"),"",IF($F38="","No due date",IF($F38&lt;TODAY(),"OVERDUE",IF($F38-TODAY()&lt;=Settings!$B$10,"Due soon","")))))</f>
        <v/>
      </c>
      <c r="P38" s="7">
        <f>IF($B38="","",IF(AND($I38="Submitted",$J38&lt;&gt;"",TODAY()-$J38&gt;Settings!$B$9),"Follow up",""))</f>
        <v/>
      </c>
      <c r="Q38" s="17">
        <f>IF($B38="","",IF((COUNTIFS($D$2:$D$200,$D38,$I$2:$I$200,"Won")+COUNTIFS($D$2:$D$200,$D38,$I$2:$I$200,"Lost"))&gt;=Settings!$B$7,COUNTIFS($D$2:$D$200,$D38,$I$2:$I$200,"Won")/(COUNTIFS($D$2:$D$200,$D38,$I$2:$I$200,"Won")+COUNTIFS($D$2:$D$200,$D38,$I$2:$I$200,"Lost")),IF((COUNTIF($I$2:$I$200,"Won")+COUNTIF($I$2:$I$200,"Lost"))&gt;0,COUNTIF($I$2:$I$200,"Won")/(COUNTIF($I$2:$I$200,"Won")+COUNTIF($I$2:$I$200,"Lost")),Settings!$B$6)))</f>
        <v/>
      </c>
      <c r="R38" s="18">
        <f>IF(OR($B38="",$G38=""),"",$G38*$Q38)</f>
        <v/>
      </c>
      <c r="S38" s="18">
        <f>IF(OR($B38="",$H38=""),"",$H38*Settings!$B$4)</f>
        <v/>
      </c>
      <c r="T38" s="18">
        <f>IF(OR($B38="",$H38="",$H38=0,$G38=""),"",$R38/$H38)</f>
        <v/>
      </c>
      <c r="U38" s="11">
        <f>IF($B38="","",IF($T38="","Add value and hours",IF($T38&gt;=Settings!$B$4*Settings!$B$8,"Worth it",IF($T38&gt;=Settings!$B$4,"Thin","Skip?"))))</f>
        <v/>
      </c>
    </row>
    <row r="39">
      <c r="A39" s="10" t="n"/>
      <c r="B39" s="10" t="n"/>
      <c r="C39" s="10" t="n"/>
      <c r="D39" s="10" t="n"/>
      <c r="E39" s="19" t="n"/>
      <c r="F39" s="19" t="n"/>
      <c r="G39" s="8" t="n"/>
      <c r="H39" s="10" t="n"/>
      <c r="I39" s="10" t="n"/>
      <c r="J39" s="19" t="n"/>
      <c r="K39" s="19" t="n"/>
      <c r="L39" s="10" t="n"/>
      <c r="M39" s="10" t="n"/>
      <c r="N39" s="7">
        <f>IF(OR($F39="",$B39=""),"",$F39-TODAY())</f>
        <v/>
      </c>
      <c r="O39" s="7">
        <f>IF($B39="","",IF(OR($I39="Won",$I39="Lost",$I39="No bid",$I39="Submitted"),"",IF($F39="","No due date",IF($F39&lt;TODAY(),"OVERDUE",IF($F39-TODAY()&lt;=Settings!$B$10,"Due soon","")))))</f>
        <v/>
      </c>
      <c r="P39" s="7">
        <f>IF($B39="","",IF(AND($I39="Submitted",$J39&lt;&gt;"",TODAY()-$J39&gt;Settings!$B$9),"Follow up",""))</f>
        <v/>
      </c>
      <c r="Q39" s="17">
        <f>IF($B39="","",IF((COUNTIFS($D$2:$D$200,$D39,$I$2:$I$200,"Won")+COUNTIFS($D$2:$D$200,$D39,$I$2:$I$200,"Lost"))&gt;=Settings!$B$7,COUNTIFS($D$2:$D$200,$D39,$I$2:$I$200,"Won")/(COUNTIFS($D$2:$D$200,$D39,$I$2:$I$200,"Won")+COUNTIFS($D$2:$D$200,$D39,$I$2:$I$200,"Lost")),IF((COUNTIF($I$2:$I$200,"Won")+COUNTIF($I$2:$I$200,"Lost"))&gt;0,COUNTIF($I$2:$I$200,"Won")/(COUNTIF($I$2:$I$200,"Won")+COUNTIF($I$2:$I$200,"Lost")),Settings!$B$6)))</f>
        <v/>
      </c>
      <c r="R39" s="18">
        <f>IF(OR($B39="",$G39=""),"",$G39*$Q39)</f>
        <v/>
      </c>
      <c r="S39" s="18">
        <f>IF(OR($B39="",$H39=""),"",$H39*Settings!$B$4)</f>
        <v/>
      </c>
      <c r="T39" s="18">
        <f>IF(OR($B39="",$H39="",$H39=0,$G39=""),"",$R39/$H39)</f>
        <v/>
      </c>
      <c r="U39" s="11">
        <f>IF($B39="","",IF($T39="","Add value and hours",IF($T39&gt;=Settings!$B$4*Settings!$B$8,"Worth it",IF($T39&gt;=Settings!$B$4,"Thin","Skip?"))))</f>
        <v/>
      </c>
    </row>
    <row r="40">
      <c r="A40" s="10" t="n"/>
      <c r="B40" s="10" t="n"/>
      <c r="C40" s="10" t="n"/>
      <c r="D40" s="10" t="n"/>
      <c r="E40" s="19" t="n"/>
      <c r="F40" s="19" t="n"/>
      <c r="G40" s="8" t="n"/>
      <c r="H40" s="10" t="n"/>
      <c r="I40" s="10" t="n"/>
      <c r="J40" s="19" t="n"/>
      <c r="K40" s="19" t="n"/>
      <c r="L40" s="10" t="n"/>
      <c r="M40" s="10" t="n"/>
      <c r="N40" s="7">
        <f>IF(OR($F40="",$B40=""),"",$F40-TODAY())</f>
        <v/>
      </c>
      <c r="O40" s="7">
        <f>IF($B40="","",IF(OR($I40="Won",$I40="Lost",$I40="No bid",$I40="Submitted"),"",IF($F40="","No due date",IF($F40&lt;TODAY(),"OVERDUE",IF($F40-TODAY()&lt;=Settings!$B$10,"Due soon","")))))</f>
        <v/>
      </c>
      <c r="P40" s="7">
        <f>IF($B40="","",IF(AND($I40="Submitted",$J40&lt;&gt;"",TODAY()-$J40&gt;Settings!$B$9),"Follow up",""))</f>
        <v/>
      </c>
      <c r="Q40" s="17">
        <f>IF($B40="","",IF((COUNTIFS($D$2:$D$200,$D40,$I$2:$I$200,"Won")+COUNTIFS($D$2:$D$200,$D40,$I$2:$I$200,"Lost"))&gt;=Settings!$B$7,COUNTIFS($D$2:$D$200,$D40,$I$2:$I$200,"Won")/(COUNTIFS($D$2:$D$200,$D40,$I$2:$I$200,"Won")+COUNTIFS($D$2:$D$200,$D40,$I$2:$I$200,"Lost")),IF((COUNTIF($I$2:$I$200,"Won")+COUNTIF($I$2:$I$200,"Lost"))&gt;0,COUNTIF($I$2:$I$200,"Won")/(COUNTIF($I$2:$I$200,"Won")+COUNTIF($I$2:$I$200,"Lost")),Settings!$B$6)))</f>
        <v/>
      </c>
      <c r="R40" s="18">
        <f>IF(OR($B40="",$G40=""),"",$G40*$Q40)</f>
        <v/>
      </c>
      <c r="S40" s="18">
        <f>IF(OR($B40="",$H40=""),"",$H40*Settings!$B$4)</f>
        <v/>
      </c>
      <c r="T40" s="18">
        <f>IF(OR($B40="",$H40="",$H40=0,$G40=""),"",$R40/$H40)</f>
        <v/>
      </c>
      <c r="U40" s="11">
        <f>IF($B40="","",IF($T40="","Add value and hours",IF($T40&gt;=Settings!$B$4*Settings!$B$8,"Worth it",IF($T40&gt;=Settings!$B$4,"Thin","Skip?"))))</f>
        <v/>
      </c>
    </row>
    <row r="41">
      <c r="A41" s="10" t="n"/>
      <c r="B41" s="10" t="n"/>
      <c r="C41" s="10" t="n"/>
      <c r="D41" s="10" t="n"/>
      <c r="E41" s="19" t="n"/>
      <c r="F41" s="19" t="n"/>
      <c r="G41" s="8" t="n"/>
      <c r="H41" s="10" t="n"/>
      <c r="I41" s="10" t="n"/>
      <c r="J41" s="19" t="n"/>
      <c r="K41" s="19" t="n"/>
      <c r="L41" s="10" t="n"/>
      <c r="M41" s="10" t="n"/>
      <c r="N41" s="7">
        <f>IF(OR($F41="",$B41=""),"",$F41-TODAY())</f>
        <v/>
      </c>
      <c r="O41" s="7">
        <f>IF($B41="","",IF(OR($I41="Won",$I41="Lost",$I41="No bid",$I41="Submitted"),"",IF($F41="","No due date",IF($F41&lt;TODAY(),"OVERDUE",IF($F41-TODAY()&lt;=Settings!$B$10,"Due soon","")))))</f>
        <v/>
      </c>
      <c r="P41" s="7">
        <f>IF($B41="","",IF(AND($I41="Submitted",$J41&lt;&gt;"",TODAY()-$J41&gt;Settings!$B$9),"Follow up",""))</f>
        <v/>
      </c>
      <c r="Q41" s="17">
        <f>IF($B41="","",IF((COUNTIFS($D$2:$D$200,$D41,$I$2:$I$200,"Won")+COUNTIFS($D$2:$D$200,$D41,$I$2:$I$200,"Lost"))&gt;=Settings!$B$7,COUNTIFS($D$2:$D$200,$D41,$I$2:$I$200,"Won")/(COUNTIFS($D$2:$D$200,$D41,$I$2:$I$200,"Won")+COUNTIFS($D$2:$D$200,$D41,$I$2:$I$200,"Lost")),IF((COUNTIF($I$2:$I$200,"Won")+COUNTIF($I$2:$I$200,"Lost"))&gt;0,COUNTIF($I$2:$I$200,"Won")/(COUNTIF($I$2:$I$200,"Won")+COUNTIF($I$2:$I$200,"Lost")),Settings!$B$6)))</f>
        <v/>
      </c>
      <c r="R41" s="18">
        <f>IF(OR($B41="",$G41=""),"",$G41*$Q41)</f>
        <v/>
      </c>
      <c r="S41" s="18">
        <f>IF(OR($B41="",$H41=""),"",$H41*Settings!$B$4)</f>
        <v/>
      </c>
      <c r="T41" s="18">
        <f>IF(OR($B41="",$H41="",$H41=0,$G41=""),"",$R41/$H41)</f>
        <v/>
      </c>
      <c r="U41" s="11">
        <f>IF($B41="","",IF($T41="","Add value and hours",IF($T41&gt;=Settings!$B$4*Settings!$B$8,"Worth it",IF($T41&gt;=Settings!$B$4,"Thin","Skip?"))))</f>
        <v/>
      </c>
    </row>
    <row r="42">
      <c r="A42" s="10" t="n"/>
      <c r="B42" s="10" t="n"/>
      <c r="C42" s="10" t="n"/>
      <c r="D42" s="10" t="n"/>
      <c r="E42" s="19" t="n"/>
      <c r="F42" s="19" t="n"/>
      <c r="G42" s="8" t="n"/>
      <c r="H42" s="10" t="n"/>
      <c r="I42" s="10" t="n"/>
      <c r="J42" s="19" t="n"/>
      <c r="K42" s="19" t="n"/>
      <c r="L42" s="10" t="n"/>
      <c r="M42" s="10" t="n"/>
      <c r="N42" s="7">
        <f>IF(OR($F42="",$B42=""),"",$F42-TODAY())</f>
        <v/>
      </c>
      <c r="O42" s="7">
        <f>IF($B42="","",IF(OR($I42="Won",$I42="Lost",$I42="No bid",$I42="Submitted"),"",IF($F42="","No due date",IF($F42&lt;TODAY(),"OVERDUE",IF($F42-TODAY()&lt;=Settings!$B$10,"Due soon","")))))</f>
        <v/>
      </c>
      <c r="P42" s="7">
        <f>IF($B42="","",IF(AND($I42="Submitted",$J42&lt;&gt;"",TODAY()-$J42&gt;Settings!$B$9),"Follow up",""))</f>
        <v/>
      </c>
      <c r="Q42" s="17">
        <f>IF($B42="","",IF((COUNTIFS($D$2:$D$200,$D42,$I$2:$I$200,"Won")+COUNTIFS($D$2:$D$200,$D42,$I$2:$I$200,"Lost"))&gt;=Settings!$B$7,COUNTIFS($D$2:$D$200,$D42,$I$2:$I$200,"Won")/(COUNTIFS($D$2:$D$200,$D42,$I$2:$I$200,"Won")+COUNTIFS($D$2:$D$200,$D42,$I$2:$I$200,"Lost")),IF((COUNTIF($I$2:$I$200,"Won")+COUNTIF($I$2:$I$200,"Lost"))&gt;0,COUNTIF($I$2:$I$200,"Won")/(COUNTIF($I$2:$I$200,"Won")+COUNTIF($I$2:$I$200,"Lost")),Settings!$B$6)))</f>
        <v/>
      </c>
      <c r="R42" s="18">
        <f>IF(OR($B42="",$G42=""),"",$G42*$Q42)</f>
        <v/>
      </c>
      <c r="S42" s="18">
        <f>IF(OR($B42="",$H42=""),"",$H42*Settings!$B$4)</f>
        <v/>
      </c>
      <c r="T42" s="18">
        <f>IF(OR($B42="",$H42="",$H42=0,$G42=""),"",$R42/$H42)</f>
        <v/>
      </c>
      <c r="U42" s="11">
        <f>IF($B42="","",IF($T42="","Add value and hours",IF($T42&gt;=Settings!$B$4*Settings!$B$8,"Worth it",IF($T42&gt;=Settings!$B$4,"Thin","Skip?"))))</f>
        <v/>
      </c>
    </row>
    <row r="43">
      <c r="A43" s="10" t="n"/>
      <c r="B43" s="10" t="n"/>
      <c r="C43" s="10" t="n"/>
      <c r="D43" s="10" t="n"/>
      <c r="E43" s="19" t="n"/>
      <c r="F43" s="19" t="n"/>
      <c r="G43" s="8" t="n"/>
      <c r="H43" s="10" t="n"/>
      <c r="I43" s="10" t="n"/>
      <c r="J43" s="19" t="n"/>
      <c r="K43" s="19" t="n"/>
      <c r="L43" s="10" t="n"/>
      <c r="M43" s="10" t="n"/>
      <c r="N43" s="7">
        <f>IF(OR($F43="",$B43=""),"",$F43-TODAY())</f>
        <v/>
      </c>
      <c r="O43" s="7">
        <f>IF($B43="","",IF(OR($I43="Won",$I43="Lost",$I43="No bid",$I43="Submitted"),"",IF($F43="","No due date",IF($F43&lt;TODAY(),"OVERDUE",IF($F43-TODAY()&lt;=Settings!$B$10,"Due soon","")))))</f>
        <v/>
      </c>
      <c r="P43" s="7">
        <f>IF($B43="","",IF(AND($I43="Submitted",$J43&lt;&gt;"",TODAY()-$J43&gt;Settings!$B$9),"Follow up",""))</f>
        <v/>
      </c>
      <c r="Q43" s="17">
        <f>IF($B43="","",IF((COUNTIFS($D$2:$D$200,$D43,$I$2:$I$200,"Won")+COUNTIFS($D$2:$D$200,$D43,$I$2:$I$200,"Lost"))&gt;=Settings!$B$7,COUNTIFS($D$2:$D$200,$D43,$I$2:$I$200,"Won")/(COUNTIFS($D$2:$D$200,$D43,$I$2:$I$200,"Won")+COUNTIFS($D$2:$D$200,$D43,$I$2:$I$200,"Lost")),IF((COUNTIF($I$2:$I$200,"Won")+COUNTIF($I$2:$I$200,"Lost"))&gt;0,COUNTIF($I$2:$I$200,"Won")/(COUNTIF($I$2:$I$200,"Won")+COUNTIF($I$2:$I$200,"Lost")),Settings!$B$6)))</f>
        <v/>
      </c>
      <c r="R43" s="18">
        <f>IF(OR($B43="",$G43=""),"",$G43*$Q43)</f>
        <v/>
      </c>
      <c r="S43" s="18">
        <f>IF(OR($B43="",$H43=""),"",$H43*Settings!$B$4)</f>
        <v/>
      </c>
      <c r="T43" s="18">
        <f>IF(OR($B43="",$H43="",$H43=0,$G43=""),"",$R43/$H43)</f>
        <v/>
      </c>
      <c r="U43" s="11">
        <f>IF($B43="","",IF($T43="","Add value and hours",IF($T43&gt;=Settings!$B$4*Settings!$B$8,"Worth it",IF($T43&gt;=Settings!$B$4,"Thin","Skip?"))))</f>
        <v/>
      </c>
    </row>
    <row r="44">
      <c r="A44" s="10" t="n"/>
      <c r="B44" s="10" t="n"/>
      <c r="C44" s="10" t="n"/>
      <c r="D44" s="10" t="n"/>
      <c r="E44" s="19" t="n"/>
      <c r="F44" s="19" t="n"/>
      <c r="G44" s="8" t="n"/>
      <c r="H44" s="10" t="n"/>
      <c r="I44" s="10" t="n"/>
      <c r="J44" s="19" t="n"/>
      <c r="K44" s="19" t="n"/>
      <c r="L44" s="10" t="n"/>
      <c r="M44" s="10" t="n"/>
      <c r="N44" s="7">
        <f>IF(OR($F44="",$B44=""),"",$F44-TODAY())</f>
        <v/>
      </c>
      <c r="O44" s="7">
        <f>IF($B44="","",IF(OR($I44="Won",$I44="Lost",$I44="No bid",$I44="Submitted"),"",IF($F44="","No due date",IF($F44&lt;TODAY(),"OVERDUE",IF($F44-TODAY()&lt;=Settings!$B$10,"Due soon","")))))</f>
        <v/>
      </c>
      <c r="P44" s="7">
        <f>IF($B44="","",IF(AND($I44="Submitted",$J44&lt;&gt;"",TODAY()-$J44&gt;Settings!$B$9),"Follow up",""))</f>
        <v/>
      </c>
      <c r="Q44" s="17">
        <f>IF($B44="","",IF((COUNTIFS($D$2:$D$200,$D44,$I$2:$I$200,"Won")+COUNTIFS($D$2:$D$200,$D44,$I$2:$I$200,"Lost"))&gt;=Settings!$B$7,COUNTIFS($D$2:$D$200,$D44,$I$2:$I$200,"Won")/(COUNTIFS($D$2:$D$200,$D44,$I$2:$I$200,"Won")+COUNTIFS($D$2:$D$200,$D44,$I$2:$I$200,"Lost")),IF((COUNTIF($I$2:$I$200,"Won")+COUNTIF($I$2:$I$200,"Lost"))&gt;0,COUNTIF($I$2:$I$200,"Won")/(COUNTIF($I$2:$I$200,"Won")+COUNTIF($I$2:$I$200,"Lost")),Settings!$B$6)))</f>
        <v/>
      </c>
      <c r="R44" s="18">
        <f>IF(OR($B44="",$G44=""),"",$G44*$Q44)</f>
        <v/>
      </c>
      <c r="S44" s="18">
        <f>IF(OR($B44="",$H44=""),"",$H44*Settings!$B$4)</f>
        <v/>
      </c>
      <c r="T44" s="18">
        <f>IF(OR($B44="",$H44="",$H44=0,$G44=""),"",$R44/$H44)</f>
        <v/>
      </c>
      <c r="U44" s="11">
        <f>IF($B44="","",IF($T44="","Add value and hours",IF($T44&gt;=Settings!$B$4*Settings!$B$8,"Worth it",IF($T44&gt;=Settings!$B$4,"Thin","Skip?"))))</f>
        <v/>
      </c>
    </row>
    <row r="45">
      <c r="A45" s="10" t="n"/>
      <c r="B45" s="10" t="n"/>
      <c r="C45" s="10" t="n"/>
      <c r="D45" s="10" t="n"/>
      <c r="E45" s="19" t="n"/>
      <c r="F45" s="19" t="n"/>
      <c r="G45" s="8" t="n"/>
      <c r="H45" s="10" t="n"/>
      <c r="I45" s="10" t="n"/>
      <c r="J45" s="19" t="n"/>
      <c r="K45" s="19" t="n"/>
      <c r="L45" s="10" t="n"/>
      <c r="M45" s="10" t="n"/>
      <c r="N45" s="7">
        <f>IF(OR($F45="",$B45=""),"",$F45-TODAY())</f>
        <v/>
      </c>
      <c r="O45" s="7">
        <f>IF($B45="","",IF(OR($I45="Won",$I45="Lost",$I45="No bid",$I45="Submitted"),"",IF($F45="","No due date",IF($F45&lt;TODAY(),"OVERDUE",IF($F45-TODAY()&lt;=Settings!$B$10,"Due soon","")))))</f>
        <v/>
      </c>
      <c r="P45" s="7">
        <f>IF($B45="","",IF(AND($I45="Submitted",$J45&lt;&gt;"",TODAY()-$J45&gt;Settings!$B$9),"Follow up",""))</f>
        <v/>
      </c>
      <c r="Q45" s="17">
        <f>IF($B45="","",IF((COUNTIFS($D$2:$D$200,$D45,$I$2:$I$200,"Won")+COUNTIFS($D$2:$D$200,$D45,$I$2:$I$200,"Lost"))&gt;=Settings!$B$7,COUNTIFS($D$2:$D$200,$D45,$I$2:$I$200,"Won")/(COUNTIFS($D$2:$D$200,$D45,$I$2:$I$200,"Won")+COUNTIFS($D$2:$D$200,$D45,$I$2:$I$200,"Lost")),IF((COUNTIF($I$2:$I$200,"Won")+COUNTIF($I$2:$I$200,"Lost"))&gt;0,COUNTIF($I$2:$I$200,"Won")/(COUNTIF($I$2:$I$200,"Won")+COUNTIF($I$2:$I$200,"Lost")),Settings!$B$6)))</f>
        <v/>
      </c>
      <c r="R45" s="18">
        <f>IF(OR($B45="",$G45=""),"",$G45*$Q45)</f>
        <v/>
      </c>
      <c r="S45" s="18">
        <f>IF(OR($B45="",$H45=""),"",$H45*Settings!$B$4)</f>
        <v/>
      </c>
      <c r="T45" s="18">
        <f>IF(OR($B45="",$H45="",$H45=0,$G45=""),"",$R45/$H45)</f>
        <v/>
      </c>
      <c r="U45" s="11">
        <f>IF($B45="","",IF($T45="","Add value and hours",IF($T45&gt;=Settings!$B$4*Settings!$B$8,"Worth it",IF($T45&gt;=Settings!$B$4,"Thin","Skip?"))))</f>
        <v/>
      </c>
    </row>
    <row r="46">
      <c r="A46" s="10" t="n"/>
      <c r="B46" s="10" t="n"/>
      <c r="C46" s="10" t="n"/>
      <c r="D46" s="10" t="n"/>
      <c r="E46" s="19" t="n"/>
      <c r="F46" s="19" t="n"/>
      <c r="G46" s="8" t="n"/>
      <c r="H46" s="10" t="n"/>
      <c r="I46" s="10" t="n"/>
      <c r="J46" s="19" t="n"/>
      <c r="K46" s="19" t="n"/>
      <c r="L46" s="10" t="n"/>
      <c r="M46" s="10" t="n"/>
      <c r="N46" s="7">
        <f>IF(OR($F46="",$B46=""),"",$F46-TODAY())</f>
        <v/>
      </c>
      <c r="O46" s="7">
        <f>IF($B46="","",IF(OR($I46="Won",$I46="Lost",$I46="No bid",$I46="Submitted"),"",IF($F46="","No due date",IF($F46&lt;TODAY(),"OVERDUE",IF($F46-TODAY()&lt;=Settings!$B$10,"Due soon","")))))</f>
        <v/>
      </c>
      <c r="P46" s="7">
        <f>IF($B46="","",IF(AND($I46="Submitted",$J46&lt;&gt;"",TODAY()-$J46&gt;Settings!$B$9),"Follow up",""))</f>
        <v/>
      </c>
      <c r="Q46" s="17">
        <f>IF($B46="","",IF((COUNTIFS($D$2:$D$200,$D46,$I$2:$I$200,"Won")+COUNTIFS($D$2:$D$200,$D46,$I$2:$I$200,"Lost"))&gt;=Settings!$B$7,COUNTIFS($D$2:$D$200,$D46,$I$2:$I$200,"Won")/(COUNTIFS($D$2:$D$200,$D46,$I$2:$I$200,"Won")+COUNTIFS($D$2:$D$200,$D46,$I$2:$I$200,"Lost")),IF((COUNTIF($I$2:$I$200,"Won")+COUNTIF($I$2:$I$200,"Lost"))&gt;0,COUNTIF($I$2:$I$200,"Won")/(COUNTIF($I$2:$I$200,"Won")+COUNTIF($I$2:$I$200,"Lost")),Settings!$B$6)))</f>
        <v/>
      </c>
      <c r="R46" s="18">
        <f>IF(OR($B46="",$G46=""),"",$G46*$Q46)</f>
        <v/>
      </c>
      <c r="S46" s="18">
        <f>IF(OR($B46="",$H46=""),"",$H46*Settings!$B$4)</f>
        <v/>
      </c>
      <c r="T46" s="18">
        <f>IF(OR($B46="",$H46="",$H46=0,$G46=""),"",$R46/$H46)</f>
        <v/>
      </c>
      <c r="U46" s="11">
        <f>IF($B46="","",IF($T46="","Add value and hours",IF($T46&gt;=Settings!$B$4*Settings!$B$8,"Worth it",IF($T46&gt;=Settings!$B$4,"Thin","Skip?"))))</f>
        <v/>
      </c>
    </row>
    <row r="47">
      <c r="A47" s="10" t="n"/>
      <c r="B47" s="10" t="n"/>
      <c r="C47" s="10" t="n"/>
      <c r="D47" s="10" t="n"/>
      <c r="E47" s="19" t="n"/>
      <c r="F47" s="19" t="n"/>
      <c r="G47" s="8" t="n"/>
      <c r="H47" s="10" t="n"/>
      <c r="I47" s="10" t="n"/>
      <c r="J47" s="19" t="n"/>
      <c r="K47" s="19" t="n"/>
      <c r="L47" s="10" t="n"/>
      <c r="M47" s="10" t="n"/>
      <c r="N47" s="7">
        <f>IF(OR($F47="",$B47=""),"",$F47-TODAY())</f>
        <v/>
      </c>
      <c r="O47" s="7">
        <f>IF($B47="","",IF(OR($I47="Won",$I47="Lost",$I47="No bid",$I47="Submitted"),"",IF($F47="","No due date",IF($F47&lt;TODAY(),"OVERDUE",IF($F47-TODAY()&lt;=Settings!$B$10,"Due soon","")))))</f>
        <v/>
      </c>
      <c r="P47" s="7">
        <f>IF($B47="","",IF(AND($I47="Submitted",$J47&lt;&gt;"",TODAY()-$J47&gt;Settings!$B$9),"Follow up",""))</f>
        <v/>
      </c>
      <c r="Q47" s="17">
        <f>IF($B47="","",IF((COUNTIFS($D$2:$D$200,$D47,$I$2:$I$200,"Won")+COUNTIFS($D$2:$D$200,$D47,$I$2:$I$200,"Lost"))&gt;=Settings!$B$7,COUNTIFS($D$2:$D$200,$D47,$I$2:$I$200,"Won")/(COUNTIFS($D$2:$D$200,$D47,$I$2:$I$200,"Won")+COUNTIFS($D$2:$D$200,$D47,$I$2:$I$200,"Lost")),IF((COUNTIF($I$2:$I$200,"Won")+COUNTIF($I$2:$I$200,"Lost"))&gt;0,COUNTIF($I$2:$I$200,"Won")/(COUNTIF($I$2:$I$200,"Won")+COUNTIF($I$2:$I$200,"Lost")),Settings!$B$6)))</f>
        <v/>
      </c>
      <c r="R47" s="18">
        <f>IF(OR($B47="",$G47=""),"",$G47*$Q47)</f>
        <v/>
      </c>
      <c r="S47" s="18">
        <f>IF(OR($B47="",$H47=""),"",$H47*Settings!$B$4)</f>
        <v/>
      </c>
      <c r="T47" s="18">
        <f>IF(OR($B47="",$H47="",$H47=0,$G47=""),"",$R47/$H47)</f>
        <v/>
      </c>
      <c r="U47" s="11">
        <f>IF($B47="","",IF($T47="","Add value and hours",IF($T47&gt;=Settings!$B$4*Settings!$B$8,"Worth it",IF($T47&gt;=Settings!$B$4,"Thin","Skip?"))))</f>
        <v/>
      </c>
    </row>
    <row r="48">
      <c r="A48" s="10" t="n"/>
      <c r="B48" s="10" t="n"/>
      <c r="C48" s="10" t="n"/>
      <c r="D48" s="10" t="n"/>
      <c r="E48" s="19" t="n"/>
      <c r="F48" s="19" t="n"/>
      <c r="G48" s="8" t="n"/>
      <c r="H48" s="10" t="n"/>
      <c r="I48" s="10" t="n"/>
      <c r="J48" s="19" t="n"/>
      <c r="K48" s="19" t="n"/>
      <c r="L48" s="10" t="n"/>
      <c r="M48" s="10" t="n"/>
      <c r="N48" s="7">
        <f>IF(OR($F48="",$B48=""),"",$F48-TODAY())</f>
        <v/>
      </c>
      <c r="O48" s="7">
        <f>IF($B48="","",IF(OR($I48="Won",$I48="Lost",$I48="No bid",$I48="Submitted"),"",IF($F48="","No due date",IF($F48&lt;TODAY(),"OVERDUE",IF($F48-TODAY()&lt;=Settings!$B$10,"Due soon","")))))</f>
        <v/>
      </c>
      <c r="P48" s="7">
        <f>IF($B48="","",IF(AND($I48="Submitted",$J48&lt;&gt;"",TODAY()-$J48&gt;Settings!$B$9),"Follow up",""))</f>
        <v/>
      </c>
      <c r="Q48" s="17">
        <f>IF($B48="","",IF((COUNTIFS($D$2:$D$200,$D48,$I$2:$I$200,"Won")+COUNTIFS($D$2:$D$200,$D48,$I$2:$I$200,"Lost"))&gt;=Settings!$B$7,COUNTIFS($D$2:$D$200,$D48,$I$2:$I$200,"Won")/(COUNTIFS($D$2:$D$200,$D48,$I$2:$I$200,"Won")+COUNTIFS($D$2:$D$200,$D48,$I$2:$I$200,"Lost")),IF((COUNTIF($I$2:$I$200,"Won")+COUNTIF($I$2:$I$200,"Lost"))&gt;0,COUNTIF($I$2:$I$200,"Won")/(COUNTIF($I$2:$I$200,"Won")+COUNTIF($I$2:$I$200,"Lost")),Settings!$B$6)))</f>
        <v/>
      </c>
      <c r="R48" s="18">
        <f>IF(OR($B48="",$G48=""),"",$G48*$Q48)</f>
        <v/>
      </c>
      <c r="S48" s="18">
        <f>IF(OR($B48="",$H48=""),"",$H48*Settings!$B$4)</f>
        <v/>
      </c>
      <c r="T48" s="18">
        <f>IF(OR($B48="",$H48="",$H48=0,$G48=""),"",$R48/$H48)</f>
        <v/>
      </c>
      <c r="U48" s="11">
        <f>IF($B48="","",IF($T48="","Add value and hours",IF($T48&gt;=Settings!$B$4*Settings!$B$8,"Worth it",IF($T48&gt;=Settings!$B$4,"Thin","Skip?"))))</f>
        <v/>
      </c>
    </row>
    <row r="49">
      <c r="A49" s="10" t="n"/>
      <c r="B49" s="10" t="n"/>
      <c r="C49" s="10" t="n"/>
      <c r="D49" s="10" t="n"/>
      <c r="E49" s="19" t="n"/>
      <c r="F49" s="19" t="n"/>
      <c r="G49" s="8" t="n"/>
      <c r="H49" s="10" t="n"/>
      <c r="I49" s="10" t="n"/>
      <c r="J49" s="19" t="n"/>
      <c r="K49" s="19" t="n"/>
      <c r="L49" s="10" t="n"/>
      <c r="M49" s="10" t="n"/>
      <c r="N49" s="7">
        <f>IF(OR($F49="",$B49=""),"",$F49-TODAY())</f>
        <v/>
      </c>
      <c r="O49" s="7">
        <f>IF($B49="","",IF(OR($I49="Won",$I49="Lost",$I49="No bid",$I49="Submitted"),"",IF($F49="","No due date",IF($F49&lt;TODAY(),"OVERDUE",IF($F49-TODAY()&lt;=Settings!$B$10,"Due soon","")))))</f>
        <v/>
      </c>
      <c r="P49" s="7">
        <f>IF($B49="","",IF(AND($I49="Submitted",$J49&lt;&gt;"",TODAY()-$J49&gt;Settings!$B$9),"Follow up",""))</f>
        <v/>
      </c>
      <c r="Q49" s="17">
        <f>IF($B49="","",IF((COUNTIFS($D$2:$D$200,$D49,$I$2:$I$200,"Won")+COUNTIFS($D$2:$D$200,$D49,$I$2:$I$200,"Lost"))&gt;=Settings!$B$7,COUNTIFS($D$2:$D$200,$D49,$I$2:$I$200,"Won")/(COUNTIFS($D$2:$D$200,$D49,$I$2:$I$200,"Won")+COUNTIFS($D$2:$D$200,$D49,$I$2:$I$200,"Lost")),IF((COUNTIF($I$2:$I$200,"Won")+COUNTIF($I$2:$I$200,"Lost"))&gt;0,COUNTIF($I$2:$I$200,"Won")/(COUNTIF($I$2:$I$200,"Won")+COUNTIF($I$2:$I$200,"Lost")),Settings!$B$6)))</f>
        <v/>
      </c>
      <c r="R49" s="18">
        <f>IF(OR($B49="",$G49=""),"",$G49*$Q49)</f>
        <v/>
      </c>
      <c r="S49" s="18">
        <f>IF(OR($B49="",$H49=""),"",$H49*Settings!$B$4)</f>
        <v/>
      </c>
      <c r="T49" s="18">
        <f>IF(OR($B49="",$H49="",$H49=0,$G49=""),"",$R49/$H49)</f>
        <v/>
      </c>
      <c r="U49" s="11">
        <f>IF($B49="","",IF($T49="","Add value and hours",IF($T49&gt;=Settings!$B$4*Settings!$B$8,"Worth it",IF($T49&gt;=Settings!$B$4,"Thin","Skip?"))))</f>
        <v/>
      </c>
    </row>
    <row r="50">
      <c r="A50" s="10" t="n"/>
      <c r="B50" s="10" t="n"/>
      <c r="C50" s="10" t="n"/>
      <c r="D50" s="10" t="n"/>
      <c r="E50" s="19" t="n"/>
      <c r="F50" s="19" t="n"/>
      <c r="G50" s="8" t="n"/>
      <c r="H50" s="10" t="n"/>
      <c r="I50" s="10" t="n"/>
      <c r="J50" s="19" t="n"/>
      <c r="K50" s="19" t="n"/>
      <c r="L50" s="10" t="n"/>
      <c r="M50" s="10" t="n"/>
      <c r="N50" s="7">
        <f>IF(OR($F50="",$B50=""),"",$F50-TODAY())</f>
        <v/>
      </c>
      <c r="O50" s="7">
        <f>IF($B50="","",IF(OR($I50="Won",$I50="Lost",$I50="No bid",$I50="Submitted"),"",IF($F50="","No due date",IF($F50&lt;TODAY(),"OVERDUE",IF($F50-TODAY()&lt;=Settings!$B$10,"Due soon","")))))</f>
        <v/>
      </c>
      <c r="P50" s="7">
        <f>IF($B50="","",IF(AND($I50="Submitted",$J50&lt;&gt;"",TODAY()-$J50&gt;Settings!$B$9),"Follow up",""))</f>
        <v/>
      </c>
      <c r="Q50" s="17">
        <f>IF($B50="","",IF((COUNTIFS($D$2:$D$200,$D50,$I$2:$I$200,"Won")+COUNTIFS($D$2:$D$200,$D50,$I$2:$I$200,"Lost"))&gt;=Settings!$B$7,COUNTIFS($D$2:$D$200,$D50,$I$2:$I$200,"Won")/(COUNTIFS($D$2:$D$200,$D50,$I$2:$I$200,"Won")+COUNTIFS($D$2:$D$200,$D50,$I$2:$I$200,"Lost")),IF((COUNTIF($I$2:$I$200,"Won")+COUNTIF($I$2:$I$200,"Lost"))&gt;0,COUNTIF($I$2:$I$200,"Won")/(COUNTIF($I$2:$I$200,"Won")+COUNTIF($I$2:$I$200,"Lost")),Settings!$B$6)))</f>
        <v/>
      </c>
      <c r="R50" s="18">
        <f>IF(OR($B50="",$G50=""),"",$G50*$Q50)</f>
        <v/>
      </c>
      <c r="S50" s="18">
        <f>IF(OR($B50="",$H50=""),"",$H50*Settings!$B$4)</f>
        <v/>
      </c>
      <c r="T50" s="18">
        <f>IF(OR($B50="",$H50="",$H50=0,$G50=""),"",$R50/$H50)</f>
        <v/>
      </c>
      <c r="U50" s="11">
        <f>IF($B50="","",IF($T50="","Add value and hours",IF($T50&gt;=Settings!$B$4*Settings!$B$8,"Worth it",IF($T50&gt;=Settings!$B$4,"Thin","Skip?"))))</f>
        <v/>
      </c>
    </row>
    <row r="51">
      <c r="A51" s="10" t="n"/>
      <c r="B51" s="10" t="n"/>
      <c r="C51" s="10" t="n"/>
      <c r="D51" s="10" t="n"/>
      <c r="E51" s="19" t="n"/>
      <c r="F51" s="19" t="n"/>
      <c r="G51" s="8" t="n"/>
      <c r="H51" s="10" t="n"/>
      <c r="I51" s="10" t="n"/>
      <c r="J51" s="19" t="n"/>
      <c r="K51" s="19" t="n"/>
      <c r="L51" s="10" t="n"/>
      <c r="M51" s="10" t="n"/>
      <c r="N51" s="7">
        <f>IF(OR($F51="",$B51=""),"",$F51-TODAY())</f>
        <v/>
      </c>
      <c r="O51" s="7">
        <f>IF($B51="","",IF(OR($I51="Won",$I51="Lost",$I51="No bid",$I51="Submitted"),"",IF($F51="","No due date",IF($F51&lt;TODAY(),"OVERDUE",IF($F51-TODAY()&lt;=Settings!$B$10,"Due soon","")))))</f>
        <v/>
      </c>
      <c r="P51" s="7">
        <f>IF($B51="","",IF(AND($I51="Submitted",$J51&lt;&gt;"",TODAY()-$J51&gt;Settings!$B$9),"Follow up",""))</f>
        <v/>
      </c>
      <c r="Q51" s="17">
        <f>IF($B51="","",IF((COUNTIFS($D$2:$D$200,$D51,$I$2:$I$200,"Won")+COUNTIFS($D$2:$D$200,$D51,$I$2:$I$200,"Lost"))&gt;=Settings!$B$7,COUNTIFS($D$2:$D$200,$D51,$I$2:$I$200,"Won")/(COUNTIFS($D$2:$D$200,$D51,$I$2:$I$200,"Won")+COUNTIFS($D$2:$D$200,$D51,$I$2:$I$200,"Lost")),IF((COUNTIF($I$2:$I$200,"Won")+COUNTIF($I$2:$I$200,"Lost"))&gt;0,COUNTIF($I$2:$I$200,"Won")/(COUNTIF($I$2:$I$200,"Won")+COUNTIF($I$2:$I$200,"Lost")),Settings!$B$6)))</f>
        <v/>
      </c>
      <c r="R51" s="18">
        <f>IF(OR($B51="",$G51=""),"",$G51*$Q51)</f>
        <v/>
      </c>
      <c r="S51" s="18">
        <f>IF(OR($B51="",$H51=""),"",$H51*Settings!$B$4)</f>
        <v/>
      </c>
      <c r="T51" s="18">
        <f>IF(OR($B51="",$H51="",$H51=0,$G51=""),"",$R51/$H51)</f>
        <v/>
      </c>
      <c r="U51" s="11">
        <f>IF($B51="","",IF($T51="","Add value and hours",IF($T51&gt;=Settings!$B$4*Settings!$B$8,"Worth it",IF($T51&gt;=Settings!$B$4,"Thin","Skip?"))))</f>
        <v/>
      </c>
    </row>
    <row r="52">
      <c r="A52" s="10" t="n"/>
      <c r="B52" s="10" t="n"/>
      <c r="C52" s="10" t="n"/>
      <c r="D52" s="10" t="n"/>
      <c r="E52" s="19" t="n"/>
      <c r="F52" s="19" t="n"/>
      <c r="G52" s="8" t="n"/>
      <c r="H52" s="10" t="n"/>
      <c r="I52" s="10" t="n"/>
      <c r="J52" s="19" t="n"/>
      <c r="K52" s="19" t="n"/>
      <c r="L52" s="10" t="n"/>
      <c r="M52" s="10" t="n"/>
      <c r="N52" s="7">
        <f>IF(OR($F52="",$B52=""),"",$F52-TODAY())</f>
        <v/>
      </c>
      <c r="O52" s="7">
        <f>IF($B52="","",IF(OR($I52="Won",$I52="Lost",$I52="No bid",$I52="Submitted"),"",IF($F52="","No due date",IF($F52&lt;TODAY(),"OVERDUE",IF($F52-TODAY()&lt;=Settings!$B$10,"Due soon","")))))</f>
        <v/>
      </c>
      <c r="P52" s="7">
        <f>IF($B52="","",IF(AND($I52="Submitted",$J52&lt;&gt;"",TODAY()-$J52&gt;Settings!$B$9),"Follow up",""))</f>
        <v/>
      </c>
      <c r="Q52" s="17">
        <f>IF($B52="","",IF((COUNTIFS($D$2:$D$200,$D52,$I$2:$I$200,"Won")+COUNTIFS($D$2:$D$200,$D52,$I$2:$I$200,"Lost"))&gt;=Settings!$B$7,COUNTIFS($D$2:$D$200,$D52,$I$2:$I$200,"Won")/(COUNTIFS($D$2:$D$200,$D52,$I$2:$I$200,"Won")+COUNTIFS($D$2:$D$200,$D52,$I$2:$I$200,"Lost")),IF((COUNTIF($I$2:$I$200,"Won")+COUNTIF($I$2:$I$200,"Lost"))&gt;0,COUNTIF($I$2:$I$200,"Won")/(COUNTIF($I$2:$I$200,"Won")+COUNTIF($I$2:$I$200,"Lost")),Settings!$B$6)))</f>
        <v/>
      </c>
      <c r="R52" s="18">
        <f>IF(OR($B52="",$G52=""),"",$G52*$Q52)</f>
        <v/>
      </c>
      <c r="S52" s="18">
        <f>IF(OR($B52="",$H52=""),"",$H52*Settings!$B$4)</f>
        <v/>
      </c>
      <c r="T52" s="18">
        <f>IF(OR($B52="",$H52="",$H52=0,$G52=""),"",$R52/$H52)</f>
        <v/>
      </c>
      <c r="U52" s="11">
        <f>IF($B52="","",IF($T52="","Add value and hours",IF($T52&gt;=Settings!$B$4*Settings!$B$8,"Worth it",IF($T52&gt;=Settings!$B$4,"Thin","Skip?"))))</f>
        <v/>
      </c>
    </row>
    <row r="53">
      <c r="A53" s="10" t="n"/>
      <c r="B53" s="10" t="n"/>
      <c r="C53" s="10" t="n"/>
      <c r="D53" s="10" t="n"/>
      <c r="E53" s="19" t="n"/>
      <c r="F53" s="19" t="n"/>
      <c r="G53" s="8" t="n"/>
      <c r="H53" s="10" t="n"/>
      <c r="I53" s="10" t="n"/>
      <c r="J53" s="19" t="n"/>
      <c r="K53" s="19" t="n"/>
      <c r="L53" s="10" t="n"/>
      <c r="M53" s="10" t="n"/>
      <c r="N53" s="7">
        <f>IF(OR($F53="",$B53=""),"",$F53-TODAY())</f>
        <v/>
      </c>
      <c r="O53" s="7">
        <f>IF($B53="","",IF(OR($I53="Won",$I53="Lost",$I53="No bid",$I53="Submitted"),"",IF($F53="","No due date",IF($F53&lt;TODAY(),"OVERDUE",IF($F53-TODAY()&lt;=Settings!$B$10,"Due soon","")))))</f>
        <v/>
      </c>
      <c r="P53" s="7">
        <f>IF($B53="","",IF(AND($I53="Submitted",$J53&lt;&gt;"",TODAY()-$J53&gt;Settings!$B$9),"Follow up",""))</f>
        <v/>
      </c>
      <c r="Q53" s="17">
        <f>IF($B53="","",IF((COUNTIFS($D$2:$D$200,$D53,$I$2:$I$200,"Won")+COUNTIFS($D$2:$D$200,$D53,$I$2:$I$200,"Lost"))&gt;=Settings!$B$7,COUNTIFS($D$2:$D$200,$D53,$I$2:$I$200,"Won")/(COUNTIFS($D$2:$D$200,$D53,$I$2:$I$200,"Won")+COUNTIFS($D$2:$D$200,$D53,$I$2:$I$200,"Lost")),IF((COUNTIF($I$2:$I$200,"Won")+COUNTIF($I$2:$I$200,"Lost"))&gt;0,COUNTIF($I$2:$I$200,"Won")/(COUNTIF($I$2:$I$200,"Won")+COUNTIF($I$2:$I$200,"Lost")),Settings!$B$6)))</f>
        <v/>
      </c>
      <c r="R53" s="18">
        <f>IF(OR($B53="",$G53=""),"",$G53*$Q53)</f>
        <v/>
      </c>
      <c r="S53" s="18">
        <f>IF(OR($B53="",$H53=""),"",$H53*Settings!$B$4)</f>
        <v/>
      </c>
      <c r="T53" s="18">
        <f>IF(OR($B53="",$H53="",$H53=0,$G53=""),"",$R53/$H53)</f>
        <v/>
      </c>
      <c r="U53" s="11">
        <f>IF($B53="","",IF($T53="","Add value and hours",IF($T53&gt;=Settings!$B$4*Settings!$B$8,"Worth it",IF($T53&gt;=Settings!$B$4,"Thin","Skip?"))))</f>
        <v/>
      </c>
    </row>
    <row r="54">
      <c r="A54" s="10" t="n"/>
      <c r="B54" s="10" t="n"/>
      <c r="C54" s="10" t="n"/>
      <c r="D54" s="10" t="n"/>
      <c r="E54" s="19" t="n"/>
      <c r="F54" s="19" t="n"/>
      <c r="G54" s="8" t="n"/>
      <c r="H54" s="10" t="n"/>
      <c r="I54" s="10" t="n"/>
      <c r="J54" s="19" t="n"/>
      <c r="K54" s="19" t="n"/>
      <c r="L54" s="10" t="n"/>
      <c r="M54" s="10" t="n"/>
      <c r="N54" s="7">
        <f>IF(OR($F54="",$B54=""),"",$F54-TODAY())</f>
        <v/>
      </c>
      <c r="O54" s="7">
        <f>IF($B54="","",IF(OR($I54="Won",$I54="Lost",$I54="No bid",$I54="Submitted"),"",IF($F54="","No due date",IF($F54&lt;TODAY(),"OVERDUE",IF($F54-TODAY()&lt;=Settings!$B$10,"Due soon","")))))</f>
        <v/>
      </c>
      <c r="P54" s="7">
        <f>IF($B54="","",IF(AND($I54="Submitted",$J54&lt;&gt;"",TODAY()-$J54&gt;Settings!$B$9),"Follow up",""))</f>
        <v/>
      </c>
      <c r="Q54" s="17">
        <f>IF($B54="","",IF((COUNTIFS($D$2:$D$200,$D54,$I$2:$I$200,"Won")+COUNTIFS($D$2:$D$200,$D54,$I$2:$I$200,"Lost"))&gt;=Settings!$B$7,COUNTIFS($D$2:$D$200,$D54,$I$2:$I$200,"Won")/(COUNTIFS($D$2:$D$200,$D54,$I$2:$I$200,"Won")+COUNTIFS($D$2:$D$200,$D54,$I$2:$I$200,"Lost")),IF((COUNTIF($I$2:$I$200,"Won")+COUNTIF($I$2:$I$200,"Lost"))&gt;0,COUNTIF($I$2:$I$200,"Won")/(COUNTIF($I$2:$I$200,"Won")+COUNTIF($I$2:$I$200,"Lost")),Settings!$B$6)))</f>
        <v/>
      </c>
      <c r="R54" s="18">
        <f>IF(OR($B54="",$G54=""),"",$G54*$Q54)</f>
        <v/>
      </c>
      <c r="S54" s="18">
        <f>IF(OR($B54="",$H54=""),"",$H54*Settings!$B$4)</f>
        <v/>
      </c>
      <c r="T54" s="18">
        <f>IF(OR($B54="",$H54="",$H54=0,$G54=""),"",$R54/$H54)</f>
        <v/>
      </c>
      <c r="U54" s="11">
        <f>IF($B54="","",IF($T54="","Add value and hours",IF($T54&gt;=Settings!$B$4*Settings!$B$8,"Worth it",IF($T54&gt;=Settings!$B$4,"Thin","Skip?"))))</f>
        <v/>
      </c>
    </row>
    <row r="55">
      <c r="A55" s="10" t="n"/>
      <c r="B55" s="10" t="n"/>
      <c r="C55" s="10" t="n"/>
      <c r="D55" s="10" t="n"/>
      <c r="E55" s="19" t="n"/>
      <c r="F55" s="19" t="n"/>
      <c r="G55" s="8" t="n"/>
      <c r="H55" s="10" t="n"/>
      <c r="I55" s="10" t="n"/>
      <c r="J55" s="19" t="n"/>
      <c r="K55" s="19" t="n"/>
      <c r="L55" s="10" t="n"/>
      <c r="M55" s="10" t="n"/>
      <c r="N55" s="7">
        <f>IF(OR($F55="",$B55=""),"",$F55-TODAY())</f>
        <v/>
      </c>
      <c r="O55" s="7">
        <f>IF($B55="","",IF(OR($I55="Won",$I55="Lost",$I55="No bid",$I55="Submitted"),"",IF($F55="","No due date",IF($F55&lt;TODAY(),"OVERDUE",IF($F55-TODAY()&lt;=Settings!$B$10,"Due soon","")))))</f>
        <v/>
      </c>
      <c r="P55" s="7">
        <f>IF($B55="","",IF(AND($I55="Submitted",$J55&lt;&gt;"",TODAY()-$J55&gt;Settings!$B$9),"Follow up",""))</f>
        <v/>
      </c>
      <c r="Q55" s="17">
        <f>IF($B55="","",IF((COUNTIFS($D$2:$D$200,$D55,$I$2:$I$200,"Won")+COUNTIFS($D$2:$D$200,$D55,$I$2:$I$200,"Lost"))&gt;=Settings!$B$7,COUNTIFS($D$2:$D$200,$D55,$I$2:$I$200,"Won")/(COUNTIFS($D$2:$D$200,$D55,$I$2:$I$200,"Won")+COUNTIFS($D$2:$D$200,$D55,$I$2:$I$200,"Lost")),IF((COUNTIF($I$2:$I$200,"Won")+COUNTIF($I$2:$I$200,"Lost"))&gt;0,COUNTIF($I$2:$I$200,"Won")/(COUNTIF($I$2:$I$200,"Won")+COUNTIF($I$2:$I$200,"Lost")),Settings!$B$6)))</f>
        <v/>
      </c>
      <c r="R55" s="18">
        <f>IF(OR($B55="",$G55=""),"",$G55*$Q55)</f>
        <v/>
      </c>
      <c r="S55" s="18">
        <f>IF(OR($B55="",$H55=""),"",$H55*Settings!$B$4)</f>
        <v/>
      </c>
      <c r="T55" s="18">
        <f>IF(OR($B55="",$H55="",$H55=0,$G55=""),"",$R55/$H55)</f>
        <v/>
      </c>
      <c r="U55" s="11">
        <f>IF($B55="","",IF($T55="","Add value and hours",IF($T55&gt;=Settings!$B$4*Settings!$B$8,"Worth it",IF($T55&gt;=Settings!$B$4,"Thin","Skip?"))))</f>
        <v/>
      </c>
    </row>
    <row r="56">
      <c r="A56" s="10" t="n"/>
      <c r="B56" s="10" t="n"/>
      <c r="C56" s="10" t="n"/>
      <c r="D56" s="10" t="n"/>
      <c r="E56" s="19" t="n"/>
      <c r="F56" s="19" t="n"/>
      <c r="G56" s="8" t="n"/>
      <c r="H56" s="10" t="n"/>
      <c r="I56" s="10" t="n"/>
      <c r="J56" s="19" t="n"/>
      <c r="K56" s="19" t="n"/>
      <c r="L56" s="10" t="n"/>
      <c r="M56" s="10" t="n"/>
      <c r="N56" s="7">
        <f>IF(OR($F56="",$B56=""),"",$F56-TODAY())</f>
        <v/>
      </c>
      <c r="O56" s="7">
        <f>IF($B56="","",IF(OR($I56="Won",$I56="Lost",$I56="No bid",$I56="Submitted"),"",IF($F56="","No due date",IF($F56&lt;TODAY(),"OVERDUE",IF($F56-TODAY()&lt;=Settings!$B$10,"Due soon","")))))</f>
        <v/>
      </c>
      <c r="P56" s="7">
        <f>IF($B56="","",IF(AND($I56="Submitted",$J56&lt;&gt;"",TODAY()-$J56&gt;Settings!$B$9),"Follow up",""))</f>
        <v/>
      </c>
      <c r="Q56" s="17">
        <f>IF($B56="","",IF((COUNTIFS($D$2:$D$200,$D56,$I$2:$I$200,"Won")+COUNTIFS($D$2:$D$200,$D56,$I$2:$I$200,"Lost"))&gt;=Settings!$B$7,COUNTIFS($D$2:$D$200,$D56,$I$2:$I$200,"Won")/(COUNTIFS($D$2:$D$200,$D56,$I$2:$I$200,"Won")+COUNTIFS($D$2:$D$200,$D56,$I$2:$I$200,"Lost")),IF((COUNTIF($I$2:$I$200,"Won")+COUNTIF($I$2:$I$200,"Lost"))&gt;0,COUNTIF($I$2:$I$200,"Won")/(COUNTIF($I$2:$I$200,"Won")+COUNTIF($I$2:$I$200,"Lost")),Settings!$B$6)))</f>
        <v/>
      </c>
      <c r="R56" s="18">
        <f>IF(OR($B56="",$G56=""),"",$G56*$Q56)</f>
        <v/>
      </c>
      <c r="S56" s="18">
        <f>IF(OR($B56="",$H56=""),"",$H56*Settings!$B$4)</f>
        <v/>
      </c>
      <c r="T56" s="18">
        <f>IF(OR($B56="",$H56="",$H56=0,$G56=""),"",$R56/$H56)</f>
        <v/>
      </c>
      <c r="U56" s="11">
        <f>IF($B56="","",IF($T56="","Add value and hours",IF($T56&gt;=Settings!$B$4*Settings!$B$8,"Worth it",IF($T56&gt;=Settings!$B$4,"Thin","Skip?"))))</f>
        <v/>
      </c>
    </row>
    <row r="57">
      <c r="A57" s="10" t="n"/>
      <c r="B57" s="10" t="n"/>
      <c r="C57" s="10" t="n"/>
      <c r="D57" s="10" t="n"/>
      <c r="E57" s="19" t="n"/>
      <c r="F57" s="19" t="n"/>
      <c r="G57" s="8" t="n"/>
      <c r="H57" s="10" t="n"/>
      <c r="I57" s="10" t="n"/>
      <c r="J57" s="19" t="n"/>
      <c r="K57" s="19" t="n"/>
      <c r="L57" s="10" t="n"/>
      <c r="M57" s="10" t="n"/>
      <c r="N57" s="7">
        <f>IF(OR($F57="",$B57=""),"",$F57-TODAY())</f>
        <v/>
      </c>
      <c r="O57" s="7">
        <f>IF($B57="","",IF(OR($I57="Won",$I57="Lost",$I57="No bid",$I57="Submitted"),"",IF($F57="","No due date",IF($F57&lt;TODAY(),"OVERDUE",IF($F57-TODAY()&lt;=Settings!$B$10,"Due soon","")))))</f>
        <v/>
      </c>
      <c r="P57" s="7">
        <f>IF($B57="","",IF(AND($I57="Submitted",$J57&lt;&gt;"",TODAY()-$J57&gt;Settings!$B$9),"Follow up",""))</f>
        <v/>
      </c>
      <c r="Q57" s="17">
        <f>IF($B57="","",IF((COUNTIFS($D$2:$D$200,$D57,$I$2:$I$200,"Won")+COUNTIFS($D$2:$D$200,$D57,$I$2:$I$200,"Lost"))&gt;=Settings!$B$7,COUNTIFS($D$2:$D$200,$D57,$I$2:$I$200,"Won")/(COUNTIFS($D$2:$D$200,$D57,$I$2:$I$200,"Won")+COUNTIFS($D$2:$D$200,$D57,$I$2:$I$200,"Lost")),IF((COUNTIF($I$2:$I$200,"Won")+COUNTIF($I$2:$I$200,"Lost"))&gt;0,COUNTIF($I$2:$I$200,"Won")/(COUNTIF($I$2:$I$200,"Won")+COUNTIF($I$2:$I$200,"Lost")),Settings!$B$6)))</f>
        <v/>
      </c>
      <c r="R57" s="18">
        <f>IF(OR($B57="",$G57=""),"",$G57*$Q57)</f>
        <v/>
      </c>
      <c r="S57" s="18">
        <f>IF(OR($B57="",$H57=""),"",$H57*Settings!$B$4)</f>
        <v/>
      </c>
      <c r="T57" s="18">
        <f>IF(OR($B57="",$H57="",$H57=0,$G57=""),"",$R57/$H57)</f>
        <v/>
      </c>
      <c r="U57" s="11">
        <f>IF($B57="","",IF($T57="","Add value and hours",IF($T57&gt;=Settings!$B$4*Settings!$B$8,"Worth it",IF($T57&gt;=Settings!$B$4,"Thin","Skip?"))))</f>
        <v/>
      </c>
    </row>
    <row r="58">
      <c r="A58" s="10" t="n"/>
      <c r="B58" s="10" t="n"/>
      <c r="C58" s="10" t="n"/>
      <c r="D58" s="10" t="n"/>
      <c r="E58" s="19" t="n"/>
      <c r="F58" s="19" t="n"/>
      <c r="G58" s="8" t="n"/>
      <c r="H58" s="10" t="n"/>
      <c r="I58" s="10" t="n"/>
      <c r="J58" s="19" t="n"/>
      <c r="K58" s="19" t="n"/>
      <c r="L58" s="10" t="n"/>
      <c r="M58" s="10" t="n"/>
      <c r="N58" s="7">
        <f>IF(OR($F58="",$B58=""),"",$F58-TODAY())</f>
        <v/>
      </c>
      <c r="O58" s="7">
        <f>IF($B58="","",IF(OR($I58="Won",$I58="Lost",$I58="No bid",$I58="Submitted"),"",IF($F58="","No due date",IF($F58&lt;TODAY(),"OVERDUE",IF($F58-TODAY()&lt;=Settings!$B$10,"Due soon","")))))</f>
        <v/>
      </c>
      <c r="P58" s="7">
        <f>IF($B58="","",IF(AND($I58="Submitted",$J58&lt;&gt;"",TODAY()-$J58&gt;Settings!$B$9),"Follow up",""))</f>
        <v/>
      </c>
      <c r="Q58" s="17">
        <f>IF($B58="","",IF((COUNTIFS($D$2:$D$200,$D58,$I$2:$I$200,"Won")+COUNTIFS($D$2:$D$200,$D58,$I$2:$I$200,"Lost"))&gt;=Settings!$B$7,COUNTIFS($D$2:$D$200,$D58,$I$2:$I$200,"Won")/(COUNTIFS($D$2:$D$200,$D58,$I$2:$I$200,"Won")+COUNTIFS($D$2:$D$200,$D58,$I$2:$I$200,"Lost")),IF((COUNTIF($I$2:$I$200,"Won")+COUNTIF($I$2:$I$200,"Lost"))&gt;0,COUNTIF($I$2:$I$200,"Won")/(COUNTIF($I$2:$I$200,"Won")+COUNTIF($I$2:$I$200,"Lost")),Settings!$B$6)))</f>
        <v/>
      </c>
      <c r="R58" s="18">
        <f>IF(OR($B58="",$G58=""),"",$G58*$Q58)</f>
        <v/>
      </c>
      <c r="S58" s="18">
        <f>IF(OR($B58="",$H58=""),"",$H58*Settings!$B$4)</f>
        <v/>
      </c>
      <c r="T58" s="18">
        <f>IF(OR($B58="",$H58="",$H58=0,$G58=""),"",$R58/$H58)</f>
        <v/>
      </c>
      <c r="U58" s="11">
        <f>IF($B58="","",IF($T58="","Add value and hours",IF($T58&gt;=Settings!$B$4*Settings!$B$8,"Worth it",IF($T58&gt;=Settings!$B$4,"Thin","Skip?"))))</f>
        <v/>
      </c>
    </row>
    <row r="59">
      <c r="A59" s="10" t="n"/>
      <c r="B59" s="10" t="n"/>
      <c r="C59" s="10" t="n"/>
      <c r="D59" s="10" t="n"/>
      <c r="E59" s="19" t="n"/>
      <c r="F59" s="19" t="n"/>
      <c r="G59" s="8" t="n"/>
      <c r="H59" s="10" t="n"/>
      <c r="I59" s="10" t="n"/>
      <c r="J59" s="19" t="n"/>
      <c r="K59" s="19" t="n"/>
      <c r="L59" s="10" t="n"/>
      <c r="M59" s="10" t="n"/>
      <c r="N59" s="7">
        <f>IF(OR($F59="",$B59=""),"",$F59-TODAY())</f>
        <v/>
      </c>
      <c r="O59" s="7">
        <f>IF($B59="","",IF(OR($I59="Won",$I59="Lost",$I59="No bid",$I59="Submitted"),"",IF($F59="","No due date",IF($F59&lt;TODAY(),"OVERDUE",IF($F59-TODAY()&lt;=Settings!$B$10,"Due soon","")))))</f>
        <v/>
      </c>
      <c r="P59" s="7">
        <f>IF($B59="","",IF(AND($I59="Submitted",$J59&lt;&gt;"",TODAY()-$J59&gt;Settings!$B$9),"Follow up",""))</f>
        <v/>
      </c>
      <c r="Q59" s="17">
        <f>IF($B59="","",IF((COUNTIFS($D$2:$D$200,$D59,$I$2:$I$200,"Won")+COUNTIFS($D$2:$D$200,$D59,$I$2:$I$200,"Lost"))&gt;=Settings!$B$7,COUNTIFS($D$2:$D$200,$D59,$I$2:$I$200,"Won")/(COUNTIFS($D$2:$D$200,$D59,$I$2:$I$200,"Won")+COUNTIFS($D$2:$D$200,$D59,$I$2:$I$200,"Lost")),IF((COUNTIF($I$2:$I$200,"Won")+COUNTIF($I$2:$I$200,"Lost"))&gt;0,COUNTIF($I$2:$I$200,"Won")/(COUNTIF($I$2:$I$200,"Won")+COUNTIF($I$2:$I$200,"Lost")),Settings!$B$6)))</f>
        <v/>
      </c>
      <c r="R59" s="18">
        <f>IF(OR($B59="",$G59=""),"",$G59*$Q59)</f>
        <v/>
      </c>
      <c r="S59" s="18">
        <f>IF(OR($B59="",$H59=""),"",$H59*Settings!$B$4)</f>
        <v/>
      </c>
      <c r="T59" s="18">
        <f>IF(OR($B59="",$H59="",$H59=0,$G59=""),"",$R59/$H59)</f>
        <v/>
      </c>
      <c r="U59" s="11">
        <f>IF($B59="","",IF($T59="","Add value and hours",IF($T59&gt;=Settings!$B$4*Settings!$B$8,"Worth it",IF($T59&gt;=Settings!$B$4,"Thin","Skip?"))))</f>
        <v/>
      </c>
    </row>
    <row r="60">
      <c r="A60" s="10" t="n"/>
      <c r="B60" s="10" t="n"/>
      <c r="C60" s="10" t="n"/>
      <c r="D60" s="10" t="n"/>
      <c r="E60" s="19" t="n"/>
      <c r="F60" s="19" t="n"/>
      <c r="G60" s="8" t="n"/>
      <c r="H60" s="10" t="n"/>
      <c r="I60" s="10" t="n"/>
      <c r="J60" s="19" t="n"/>
      <c r="K60" s="19" t="n"/>
      <c r="L60" s="10" t="n"/>
      <c r="M60" s="10" t="n"/>
      <c r="N60" s="7">
        <f>IF(OR($F60="",$B60=""),"",$F60-TODAY())</f>
        <v/>
      </c>
      <c r="O60" s="7">
        <f>IF($B60="","",IF(OR($I60="Won",$I60="Lost",$I60="No bid",$I60="Submitted"),"",IF($F60="","No due date",IF($F60&lt;TODAY(),"OVERDUE",IF($F60-TODAY()&lt;=Settings!$B$10,"Due soon","")))))</f>
        <v/>
      </c>
      <c r="P60" s="7">
        <f>IF($B60="","",IF(AND($I60="Submitted",$J60&lt;&gt;"",TODAY()-$J60&gt;Settings!$B$9),"Follow up",""))</f>
        <v/>
      </c>
      <c r="Q60" s="17">
        <f>IF($B60="","",IF((COUNTIFS($D$2:$D$200,$D60,$I$2:$I$200,"Won")+COUNTIFS($D$2:$D$200,$D60,$I$2:$I$200,"Lost"))&gt;=Settings!$B$7,COUNTIFS($D$2:$D$200,$D60,$I$2:$I$200,"Won")/(COUNTIFS($D$2:$D$200,$D60,$I$2:$I$200,"Won")+COUNTIFS($D$2:$D$200,$D60,$I$2:$I$200,"Lost")),IF((COUNTIF($I$2:$I$200,"Won")+COUNTIF($I$2:$I$200,"Lost"))&gt;0,COUNTIF($I$2:$I$200,"Won")/(COUNTIF($I$2:$I$200,"Won")+COUNTIF($I$2:$I$200,"Lost")),Settings!$B$6)))</f>
        <v/>
      </c>
      <c r="R60" s="18">
        <f>IF(OR($B60="",$G60=""),"",$G60*$Q60)</f>
        <v/>
      </c>
      <c r="S60" s="18">
        <f>IF(OR($B60="",$H60=""),"",$H60*Settings!$B$4)</f>
        <v/>
      </c>
      <c r="T60" s="18">
        <f>IF(OR($B60="",$H60="",$H60=0,$G60=""),"",$R60/$H60)</f>
        <v/>
      </c>
      <c r="U60" s="11">
        <f>IF($B60="","",IF($T60="","Add value and hours",IF($T60&gt;=Settings!$B$4*Settings!$B$8,"Worth it",IF($T60&gt;=Settings!$B$4,"Thin","Skip?"))))</f>
        <v/>
      </c>
    </row>
    <row r="61">
      <c r="A61" s="10" t="n"/>
      <c r="B61" s="10" t="n"/>
      <c r="C61" s="10" t="n"/>
      <c r="D61" s="10" t="n"/>
      <c r="E61" s="19" t="n"/>
      <c r="F61" s="19" t="n"/>
      <c r="G61" s="8" t="n"/>
      <c r="H61" s="10" t="n"/>
      <c r="I61" s="10" t="n"/>
      <c r="J61" s="19" t="n"/>
      <c r="K61" s="19" t="n"/>
      <c r="L61" s="10" t="n"/>
      <c r="M61" s="10" t="n"/>
      <c r="N61" s="7">
        <f>IF(OR($F61="",$B61=""),"",$F61-TODAY())</f>
        <v/>
      </c>
      <c r="O61" s="7">
        <f>IF($B61="","",IF(OR($I61="Won",$I61="Lost",$I61="No bid",$I61="Submitted"),"",IF($F61="","No due date",IF($F61&lt;TODAY(),"OVERDUE",IF($F61-TODAY()&lt;=Settings!$B$10,"Due soon","")))))</f>
        <v/>
      </c>
      <c r="P61" s="7">
        <f>IF($B61="","",IF(AND($I61="Submitted",$J61&lt;&gt;"",TODAY()-$J61&gt;Settings!$B$9),"Follow up",""))</f>
        <v/>
      </c>
      <c r="Q61" s="17">
        <f>IF($B61="","",IF((COUNTIFS($D$2:$D$200,$D61,$I$2:$I$200,"Won")+COUNTIFS($D$2:$D$200,$D61,$I$2:$I$200,"Lost"))&gt;=Settings!$B$7,COUNTIFS($D$2:$D$200,$D61,$I$2:$I$200,"Won")/(COUNTIFS($D$2:$D$200,$D61,$I$2:$I$200,"Won")+COUNTIFS($D$2:$D$200,$D61,$I$2:$I$200,"Lost")),IF((COUNTIF($I$2:$I$200,"Won")+COUNTIF($I$2:$I$200,"Lost"))&gt;0,COUNTIF($I$2:$I$200,"Won")/(COUNTIF($I$2:$I$200,"Won")+COUNTIF($I$2:$I$200,"Lost")),Settings!$B$6)))</f>
        <v/>
      </c>
      <c r="R61" s="18">
        <f>IF(OR($B61="",$G61=""),"",$G61*$Q61)</f>
        <v/>
      </c>
      <c r="S61" s="18">
        <f>IF(OR($B61="",$H61=""),"",$H61*Settings!$B$4)</f>
        <v/>
      </c>
      <c r="T61" s="18">
        <f>IF(OR($B61="",$H61="",$H61=0,$G61=""),"",$R61/$H61)</f>
        <v/>
      </c>
      <c r="U61" s="11">
        <f>IF($B61="","",IF($T61="","Add value and hours",IF($T61&gt;=Settings!$B$4*Settings!$B$8,"Worth it",IF($T61&gt;=Settings!$B$4,"Thin","Skip?"))))</f>
        <v/>
      </c>
    </row>
    <row r="62">
      <c r="A62" s="10" t="n"/>
      <c r="B62" s="10" t="n"/>
      <c r="C62" s="10" t="n"/>
      <c r="D62" s="10" t="n"/>
      <c r="E62" s="19" t="n"/>
      <c r="F62" s="19" t="n"/>
      <c r="G62" s="8" t="n"/>
      <c r="H62" s="10" t="n"/>
      <c r="I62" s="10" t="n"/>
      <c r="J62" s="19" t="n"/>
      <c r="K62" s="19" t="n"/>
      <c r="L62" s="10" t="n"/>
      <c r="M62" s="10" t="n"/>
      <c r="N62" s="7">
        <f>IF(OR($F62="",$B62=""),"",$F62-TODAY())</f>
        <v/>
      </c>
      <c r="O62" s="7">
        <f>IF($B62="","",IF(OR($I62="Won",$I62="Lost",$I62="No bid",$I62="Submitted"),"",IF($F62="","No due date",IF($F62&lt;TODAY(),"OVERDUE",IF($F62-TODAY()&lt;=Settings!$B$10,"Due soon","")))))</f>
        <v/>
      </c>
      <c r="P62" s="7">
        <f>IF($B62="","",IF(AND($I62="Submitted",$J62&lt;&gt;"",TODAY()-$J62&gt;Settings!$B$9),"Follow up",""))</f>
        <v/>
      </c>
      <c r="Q62" s="17">
        <f>IF($B62="","",IF((COUNTIFS($D$2:$D$200,$D62,$I$2:$I$200,"Won")+COUNTIFS($D$2:$D$200,$D62,$I$2:$I$200,"Lost"))&gt;=Settings!$B$7,COUNTIFS($D$2:$D$200,$D62,$I$2:$I$200,"Won")/(COUNTIFS($D$2:$D$200,$D62,$I$2:$I$200,"Won")+COUNTIFS($D$2:$D$200,$D62,$I$2:$I$200,"Lost")),IF((COUNTIF($I$2:$I$200,"Won")+COUNTIF($I$2:$I$200,"Lost"))&gt;0,COUNTIF($I$2:$I$200,"Won")/(COUNTIF($I$2:$I$200,"Won")+COUNTIF($I$2:$I$200,"Lost")),Settings!$B$6)))</f>
        <v/>
      </c>
      <c r="R62" s="18">
        <f>IF(OR($B62="",$G62=""),"",$G62*$Q62)</f>
        <v/>
      </c>
      <c r="S62" s="18">
        <f>IF(OR($B62="",$H62=""),"",$H62*Settings!$B$4)</f>
        <v/>
      </c>
      <c r="T62" s="18">
        <f>IF(OR($B62="",$H62="",$H62=0,$G62=""),"",$R62/$H62)</f>
        <v/>
      </c>
      <c r="U62" s="11">
        <f>IF($B62="","",IF($T62="","Add value and hours",IF($T62&gt;=Settings!$B$4*Settings!$B$8,"Worth it",IF($T62&gt;=Settings!$B$4,"Thin","Skip?"))))</f>
        <v/>
      </c>
    </row>
    <row r="63">
      <c r="A63" s="10" t="n"/>
      <c r="B63" s="10" t="n"/>
      <c r="C63" s="10" t="n"/>
      <c r="D63" s="10" t="n"/>
      <c r="E63" s="19" t="n"/>
      <c r="F63" s="19" t="n"/>
      <c r="G63" s="8" t="n"/>
      <c r="H63" s="10" t="n"/>
      <c r="I63" s="10" t="n"/>
      <c r="J63" s="19" t="n"/>
      <c r="K63" s="19" t="n"/>
      <c r="L63" s="10" t="n"/>
      <c r="M63" s="10" t="n"/>
      <c r="N63" s="7">
        <f>IF(OR($F63="",$B63=""),"",$F63-TODAY())</f>
        <v/>
      </c>
      <c r="O63" s="7">
        <f>IF($B63="","",IF(OR($I63="Won",$I63="Lost",$I63="No bid",$I63="Submitted"),"",IF($F63="","No due date",IF($F63&lt;TODAY(),"OVERDUE",IF($F63-TODAY()&lt;=Settings!$B$10,"Due soon","")))))</f>
        <v/>
      </c>
      <c r="P63" s="7">
        <f>IF($B63="","",IF(AND($I63="Submitted",$J63&lt;&gt;"",TODAY()-$J63&gt;Settings!$B$9),"Follow up",""))</f>
        <v/>
      </c>
      <c r="Q63" s="17">
        <f>IF($B63="","",IF((COUNTIFS($D$2:$D$200,$D63,$I$2:$I$200,"Won")+COUNTIFS($D$2:$D$200,$D63,$I$2:$I$200,"Lost"))&gt;=Settings!$B$7,COUNTIFS($D$2:$D$200,$D63,$I$2:$I$200,"Won")/(COUNTIFS($D$2:$D$200,$D63,$I$2:$I$200,"Won")+COUNTIFS($D$2:$D$200,$D63,$I$2:$I$200,"Lost")),IF((COUNTIF($I$2:$I$200,"Won")+COUNTIF($I$2:$I$200,"Lost"))&gt;0,COUNTIF($I$2:$I$200,"Won")/(COUNTIF($I$2:$I$200,"Won")+COUNTIF($I$2:$I$200,"Lost")),Settings!$B$6)))</f>
        <v/>
      </c>
      <c r="R63" s="18">
        <f>IF(OR($B63="",$G63=""),"",$G63*$Q63)</f>
        <v/>
      </c>
      <c r="S63" s="18">
        <f>IF(OR($B63="",$H63=""),"",$H63*Settings!$B$4)</f>
        <v/>
      </c>
      <c r="T63" s="18">
        <f>IF(OR($B63="",$H63="",$H63=0,$G63=""),"",$R63/$H63)</f>
        <v/>
      </c>
      <c r="U63" s="11">
        <f>IF($B63="","",IF($T63="","Add value and hours",IF($T63&gt;=Settings!$B$4*Settings!$B$8,"Worth it",IF($T63&gt;=Settings!$B$4,"Thin","Skip?"))))</f>
        <v/>
      </c>
    </row>
    <row r="64">
      <c r="A64" s="10" t="n"/>
      <c r="B64" s="10" t="n"/>
      <c r="C64" s="10" t="n"/>
      <c r="D64" s="10" t="n"/>
      <c r="E64" s="19" t="n"/>
      <c r="F64" s="19" t="n"/>
      <c r="G64" s="8" t="n"/>
      <c r="H64" s="10" t="n"/>
      <c r="I64" s="10" t="n"/>
      <c r="J64" s="19" t="n"/>
      <c r="K64" s="19" t="n"/>
      <c r="L64" s="10" t="n"/>
      <c r="M64" s="10" t="n"/>
      <c r="N64" s="7">
        <f>IF(OR($F64="",$B64=""),"",$F64-TODAY())</f>
        <v/>
      </c>
      <c r="O64" s="7">
        <f>IF($B64="","",IF(OR($I64="Won",$I64="Lost",$I64="No bid",$I64="Submitted"),"",IF($F64="","No due date",IF($F64&lt;TODAY(),"OVERDUE",IF($F64-TODAY()&lt;=Settings!$B$10,"Due soon","")))))</f>
        <v/>
      </c>
      <c r="P64" s="7">
        <f>IF($B64="","",IF(AND($I64="Submitted",$J64&lt;&gt;"",TODAY()-$J64&gt;Settings!$B$9),"Follow up",""))</f>
        <v/>
      </c>
      <c r="Q64" s="17">
        <f>IF($B64="","",IF((COUNTIFS($D$2:$D$200,$D64,$I$2:$I$200,"Won")+COUNTIFS($D$2:$D$200,$D64,$I$2:$I$200,"Lost"))&gt;=Settings!$B$7,COUNTIFS($D$2:$D$200,$D64,$I$2:$I$200,"Won")/(COUNTIFS($D$2:$D$200,$D64,$I$2:$I$200,"Won")+COUNTIFS($D$2:$D$200,$D64,$I$2:$I$200,"Lost")),IF((COUNTIF($I$2:$I$200,"Won")+COUNTIF($I$2:$I$200,"Lost"))&gt;0,COUNTIF($I$2:$I$200,"Won")/(COUNTIF($I$2:$I$200,"Won")+COUNTIF($I$2:$I$200,"Lost")),Settings!$B$6)))</f>
        <v/>
      </c>
      <c r="R64" s="18">
        <f>IF(OR($B64="",$G64=""),"",$G64*$Q64)</f>
        <v/>
      </c>
      <c r="S64" s="18">
        <f>IF(OR($B64="",$H64=""),"",$H64*Settings!$B$4)</f>
        <v/>
      </c>
      <c r="T64" s="18">
        <f>IF(OR($B64="",$H64="",$H64=0,$G64=""),"",$R64/$H64)</f>
        <v/>
      </c>
      <c r="U64" s="11">
        <f>IF($B64="","",IF($T64="","Add value and hours",IF($T64&gt;=Settings!$B$4*Settings!$B$8,"Worth it",IF($T64&gt;=Settings!$B$4,"Thin","Skip?"))))</f>
        <v/>
      </c>
    </row>
    <row r="65">
      <c r="A65" s="10" t="n"/>
      <c r="B65" s="10" t="n"/>
      <c r="C65" s="10" t="n"/>
      <c r="D65" s="10" t="n"/>
      <c r="E65" s="19" t="n"/>
      <c r="F65" s="19" t="n"/>
      <c r="G65" s="8" t="n"/>
      <c r="H65" s="10" t="n"/>
      <c r="I65" s="10" t="n"/>
      <c r="J65" s="19" t="n"/>
      <c r="K65" s="19" t="n"/>
      <c r="L65" s="10" t="n"/>
      <c r="M65" s="10" t="n"/>
      <c r="N65" s="7">
        <f>IF(OR($F65="",$B65=""),"",$F65-TODAY())</f>
        <v/>
      </c>
      <c r="O65" s="7">
        <f>IF($B65="","",IF(OR($I65="Won",$I65="Lost",$I65="No bid",$I65="Submitted"),"",IF($F65="","No due date",IF($F65&lt;TODAY(),"OVERDUE",IF($F65-TODAY()&lt;=Settings!$B$10,"Due soon","")))))</f>
        <v/>
      </c>
      <c r="P65" s="7">
        <f>IF($B65="","",IF(AND($I65="Submitted",$J65&lt;&gt;"",TODAY()-$J65&gt;Settings!$B$9),"Follow up",""))</f>
        <v/>
      </c>
      <c r="Q65" s="17">
        <f>IF($B65="","",IF((COUNTIFS($D$2:$D$200,$D65,$I$2:$I$200,"Won")+COUNTIFS($D$2:$D$200,$D65,$I$2:$I$200,"Lost"))&gt;=Settings!$B$7,COUNTIFS($D$2:$D$200,$D65,$I$2:$I$200,"Won")/(COUNTIFS($D$2:$D$200,$D65,$I$2:$I$200,"Won")+COUNTIFS($D$2:$D$200,$D65,$I$2:$I$200,"Lost")),IF((COUNTIF($I$2:$I$200,"Won")+COUNTIF($I$2:$I$200,"Lost"))&gt;0,COUNTIF($I$2:$I$200,"Won")/(COUNTIF($I$2:$I$200,"Won")+COUNTIF($I$2:$I$200,"Lost")),Settings!$B$6)))</f>
        <v/>
      </c>
      <c r="R65" s="18">
        <f>IF(OR($B65="",$G65=""),"",$G65*$Q65)</f>
        <v/>
      </c>
      <c r="S65" s="18">
        <f>IF(OR($B65="",$H65=""),"",$H65*Settings!$B$4)</f>
        <v/>
      </c>
      <c r="T65" s="18">
        <f>IF(OR($B65="",$H65="",$H65=0,$G65=""),"",$R65/$H65)</f>
        <v/>
      </c>
      <c r="U65" s="11">
        <f>IF($B65="","",IF($T65="","Add value and hours",IF($T65&gt;=Settings!$B$4*Settings!$B$8,"Worth it",IF($T65&gt;=Settings!$B$4,"Thin","Skip?"))))</f>
        <v/>
      </c>
    </row>
    <row r="66">
      <c r="A66" s="10" t="n"/>
      <c r="B66" s="10" t="n"/>
      <c r="C66" s="10" t="n"/>
      <c r="D66" s="10" t="n"/>
      <c r="E66" s="19" t="n"/>
      <c r="F66" s="19" t="n"/>
      <c r="G66" s="8" t="n"/>
      <c r="H66" s="10" t="n"/>
      <c r="I66" s="10" t="n"/>
      <c r="J66" s="19" t="n"/>
      <c r="K66" s="19" t="n"/>
      <c r="L66" s="10" t="n"/>
      <c r="M66" s="10" t="n"/>
      <c r="N66" s="7">
        <f>IF(OR($F66="",$B66=""),"",$F66-TODAY())</f>
        <v/>
      </c>
      <c r="O66" s="7">
        <f>IF($B66="","",IF(OR($I66="Won",$I66="Lost",$I66="No bid",$I66="Submitted"),"",IF($F66="","No due date",IF($F66&lt;TODAY(),"OVERDUE",IF($F66-TODAY()&lt;=Settings!$B$10,"Due soon","")))))</f>
        <v/>
      </c>
      <c r="P66" s="7">
        <f>IF($B66="","",IF(AND($I66="Submitted",$J66&lt;&gt;"",TODAY()-$J66&gt;Settings!$B$9),"Follow up",""))</f>
        <v/>
      </c>
      <c r="Q66" s="17">
        <f>IF($B66="","",IF((COUNTIFS($D$2:$D$200,$D66,$I$2:$I$200,"Won")+COUNTIFS($D$2:$D$200,$D66,$I$2:$I$200,"Lost"))&gt;=Settings!$B$7,COUNTIFS($D$2:$D$200,$D66,$I$2:$I$200,"Won")/(COUNTIFS($D$2:$D$200,$D66,$I$2:$I$200,"Won")+COUNTIFS($D$2:$D$200,$D66,$I$2:$I$200,"Lost")),IF((COUNTIF($I$2:$I$200,"Won")+COUNTIF($I$2:$I$200,"Lost"))&gt;0,COUNTIF($I$2:$I$200,"Won")/(COUNTIF($I$2:$I$200,"Won")+COUNTIF($I$2:$I$200,"Lost")),Settings!$B$6)))</f>
        <v/>
      </c>
      <c r="R66" s="18">
        <f>IF(OR($B66="",$G66=""),"",$G66*$Q66)</f>
        <v/>
      </c>
      <c r="S66" s="18">
        <f>IF(OR($B66="",$H66=""),"",$H66*Settings!$B$4)</f>
        <v/>
      </c>
      <c r="T66" s="18">
        <f>IF(OR($B66="",$H66="",$H66=0,$G66=""),"",$R66/$H66)</f>
        <v/>
      </c>
      <c r="U66" s="11">
        <f>IF($B66="","",IF($T66="","Add value and hours",IF($T66&gt;=Settings!$B$4*Settings!$B$8,"Worth it",IF($T66&gt;=Settings!$B$4,"Thin","Skip?"))))</f>
        <v/>
      </c>
    </row>
    <row r="67">
      <c r="A67" s="10" t="n"/>
      <c r="B67" s="10" t="n"/>
      <c r="C67" s="10" t="n"/>
      <c r="D67" s="10" t="n"/>
      <c r="E67" s="19" t="n"/>
      <c r="F67" s="19" t="n"/>
      <c r="G67" s="8" t="n"/>
      <c r="H67" s="10" t="n"/>
      <c r="I67" s="10" t="n"/>
      <c r="J67" s="19" t="n"/>
      <c r="K67" s="19" t="n"/>
      <c r="L67" s="10" t="n"/>
      <c r="M67" s="10" t="n"/>
      <c r="N67" s="7">
        <f>IF(OR($F67="",$B67=""),"",$F67-TODAY())</f>
        <v/>
      </c>
      <c r="O67" s="7">
        <f>IF($B67="","",IF(OR($I67="Won",$I67="Lost",$I67="No bid",$I67="Submitted"),"",IF($F67="","No due date",IF($F67&lt;TODAY(),"OVERDUE",IF($F67-TODAY()&lt;=Settings!$B$10,"Due soon","")))))</f>
        <v/>
      </c>
      <c r="P67" s="7">
        <f>IF($B67="","",IF(AND($I67="Submitted",$J67&lt;&gt;"",TODAY()-$J67&gt;Settings!$B$9),"Follow up",""))</f>
        <v/>
      </c>
      <c r="Q67" s="17">
        <f>IF($B67="","",IF((COUNTIFS($D$2:$D$200,$D67,$I$2:$I$200,"Won")+COUNTIFS($D$2:$D$200,$D67,$I$2:$I$200,"Lost"))&gt;=Settings!$B$7,COUNTIFS($D$2:$D$200,$D67,$I$2:$I$200,"Won")/(COUNTIFS($D$2:$D$200,$D67,$I$2:$I$200,"Won")+COUNTIFS($D$2:$D$200,$D67,$I$2:$I$200,"Lost")),IF((COUNTIF($I$2:$I$200,"Won")+COUNTIF($I$2:$I$200,"Lost"))&gt;0,COUNTIF($I$2:$I$200,"Won")/(COUNTIF($I$2:$I$200,"Won")+COUNTIF($I$2:$I$200,"Lost")),Settings!$B$6)))</f>
        <v/>
      </c>
      <c r="R67" s="18">
        <f>IF(OR($B67="",$G67=""),"",$G67*$Q67)</f>
        <v/>
      </c>
      <c r="S67" s="18">
        <f>IF(OR($B67="",$H67=""),"",$H67*Settings!$B$4)</f>
        <v/>
      </c>
      <c r="T67" s="18">
        <f>IF(OR($B67="",$H67="",$H67=0,$G67=""),"",$R67/$H67)</f>
        <v/>
      </c>
      <c r="U67" s="11">
        <f>IF($B67="","",IF($T67="","Add value and hours",IF($T67&gt;=Settings!$B$4*Settings!$B$8,"Worth it",IF($T67&gt;=Settings!$B$4,"Thin","Skip?"))))</f>
        <v/>
      </c>
    </row>
    <row r="68">
      <c r="A68" s="10" t="n"/>
      <c r="B68" s="10" t="n"/>
      <c r="C68" s="10" t="n"/>
      <c r="D68" s="10" t="n"/>
      <c r="E68" s="19" t="n"/>
      <c r="F68" s="19" t="n"/>
      <c r="G68" s="8" t="n"/>
      <c r="H68" s="10" t="n"/>
      <c r="I68" s="10" t="n"/>
      <c r="J68" s="19" t="n"/>
      <c r="K68" s="19" t="n"/>
      <c r="L68" s="10" t="n"/>
      <c r="M68" s="10" t="n"/>
      <c r="N68" s="7">
        <f>IF(OR($F68="",$B68=""),"",$F68-TODAY())</f>
        <v/>
      </c>
      <c r="O68" s="7">
        <f>IF($B68="","",IF(OR($I68="Won",$I68="Lost",$I68="No bid",$I68="Submitted"),"",IF($F68="","No due date",IF($F68&lt;TODAY(),"OVERDUE",IF($F68-TODAY()&lt;=Settings!$B$10,"Due soon","")))))</f>
        <v/>
      </c>
      <c r="P68" s="7">
        <f>IF($B68="","",IF(AND($I68="Submitted",$J68&lt;&gt;"",TODAY()-$J68&gt;Settings!$B$9),"Follow up",""))</f>
        <v/>
      </c>
      <c r="Q68" s="17">
        <f>IF($B68="","",IF((COUNTIFS($D$2:$D$200,$D68,$I$2:$I$200,"Won")+COUNTIFS($D$2:$D$200,$D68,$I$2:$I$200,"Lost"))&gt;=Settings!$B$7,COUNTIFS($D$2:$D$200,$D68,$I$2:$I$200,"Won")/(COUNTIFS($D$2:$D$200,$D68,$I$2:$I$200,"Won")+COUNTIFS($D$2:$D$200,$D68,$I$2:$I$200,"Lost")),IF((COUNTIF($I$2:$I$200,"Won")+COUNTIF($I$2:$I$200,"Lost"))&gt;0,COUNTIF($I$2:$I$200,"Won")/(COUNTIF($I$2:$I$200,"Won")+COUNTIF($I$2:$I$200,"Lost")),Settings!$B$6)))</f>
        <v/>
      </c>
      <c r="R68" s="18">
        <f>IF(OR($B68="",$G68=""),"",$G68*$Q68)</f>
        <v/>
      </c>
      <c r="S68" s="18">
        <f>IF(OR($B68="",$H68=""),"",$H68*Settings!$B$4)</f>
        <v/>
      </c>
      <c r="T68" s="18">
        <f>IF(OR($B68="",$H68="",$H68=0,$G68=""),"",$R68/$H68)</f>
        <v/>
      </c>
      <c r="U68" s="11">
        <f>IF($B68="","",IF($T68="","Add value and hours",IF($T68&gt;=Settings!$B$4*Settings!$B$8,"Worth it",IF($T68&gt;=Settings!$B$4,"Thin","Skip?"))))</f>
        <v/>
      </c>
    </row>
    <row r="69">
      <c r="A69" s="10" t="n"/>
      <c r="B69" s="10" t="n"/>
      <c r="C69" s="10" t="n"/>
      <c r="D69" s="10" t="n"/>
      <c r="E69" s="19" t="n"/>
      <c r="F69" s="19" t="n"/>
      <c r="G69" s="8" t="n"/>
      <c r="H69" s="10" t="n"/>
      <c r="I69" s="10" t="n"/>
      <c r="J69" s="19" t="n"/>
      <c r="K69" s="19" t="n"/>
      <c r="L69" s="10" t="n"/>
      <c r="M69" s="10" t="n"/>
      <c r="N69" s="7">
        <f>IF(OR($F69="",$B69=""),"",$F69-TODAY())</f>
        <v/>
      </c>
      <c r="O69" s="7">
        <f>IF($B69="","",IF(OR($I69="Won",$I69="Lost",$I69="No bid",$I69="Submitted"),"",IF($F69="","No due date",IF($F69&lt;TODAY(),"OVERDUE",IF($F69-TODAY()&lt;=Settings!$B$10,"Due soon","")))))</f>
        <v/>
      </c>
      <c r="P69" s="7">
        <f>IF($B69="","",IF(AND($I69="Submitted",$J69&lt;&gt;"",TODAY()-$J69&gt;Settings!$B$9),"Follow up",""))</f>
        <v/>
      </c>
      <c r="Q69" s="17">
        <f>IF($B69="","",IF((COUNTIFS($D$2:$D$200,$D69,$I$2:$I$200,"Won")+COUNTIFS($D$2:$D$200,$D69,$I$2:$I$200,"Lost"))&gt;=Settings!$B$7,COUNTIFS($D$2:$D$200,$D69,$I$2:$I$200,"Won")/(COUNTIFS($D$2:$D$200,$D69,$I$2:$I$200,"Won")+COUNTIFS($D$2:$D$200,$D69,$I$2:$I$200,"Lost")),IF((COUNTIF($I$2:$I$200,"Won")+COUNTIF($I$2:$I$200,"Lost"))&gt;0,COUNTIF($I$2:$I$200,"Won")/(COUNTIF($I$2:$I$200,"Won")+COUNTIF($I$2:$I$200,"Lost")),Settings!$B$6)))</f>
        <v/>
      </c>
      <c r="R69" s="18">
        <f>IF(OR($B69="",$G69=""),"",$G69*$Q69)</f>
        <v/>
      </c>
      <c r="S69" s="18">
        <f>IF(OR($B69="",$H69=""),"",$H69*Settings!$B$4)</f>
        <v/>
      </c>
      <c r="T69" s="18">
        <f>IF(OR($B69="",$H69="",$H69=0,$G69=""),"",$R69/$H69)</f>
        <v/>
      </c>
      <c r="U69" s="11">
        <f>IF($B69="","",IF($T69="","Add value and hours",IF($T69&gt;=Settings!$B$4*Settings!$B$8,"Worth it",IF($T69&gt;=Settings!$B$4,"Thin","Skip?"))))</f>
        <v/>
      </c>
    </row>
    <row r="70">
      <c r="A70" s="10" t="n"/>
      <c r="B70" s="10" t="n"/>
      <c r="C70" s="10" t="n"/>
      <c r="D70" s="10" t="n"/>
      <c r="E70" s="19" t="n"/>
      <c r="F70" s="19" t="n"/>
      <c r="G70" s="8" t="n"/>
      <c r="H70" s="10" t="n"/>
      <c r="I70" s="10" t="n"/>
      <c r="J70" s="19" t="n"/>
      <c r="K70" s="19" t="n"/>
      <c r="L70" s="10" t="n"/>
      <c r="M70" s="10" t="n"/>
      <c r="N70" s="7">
        <f>IF(OR($F70="",$B70=""),"",$F70-TODAY())</f>
        <v/>
      </c>
      <c r="O70" s="7">
        <f>IF($B70="","",IF(OR($I70="Won",$I70="Lost",$I70="No bid",$I70="Submitted"),"",IF($F70="","No due date",IF($F70&lt;TODAY(),"OVERDUE",IF($F70-TODAY()&lt;=Settings!$B$10,"Due soon","")))))</f>
        <v/>
      </c>
      <c r="P70" s="7">
        <f>IF($B70="","",IF(AND($I70="Submitted",$J70&lt;&gt;"",TODAY()-$J70&gt;Settings!$B$9),"Follow up",""))</f>
        <v/>
      </c>
      <c r="Q70" s="17">
        <f>IF($B70="","",IF((COUNTIFS($D$2:$D$200,$D70,$I$2:$I$200,"Won")+COUNTIFS($D$2:$D$200,$D70,$I$2:$I$200,"Lost"))&gt;=Settings!$B$7,COUNTIFS($D$2:$D$200,$D70,$I$2:$I$200,"Won")/(COUNTIFS($D$2:$D$200,$D70,$I$2:$I$200,"Won")+COUNTIFS($D$2:$D$200,$D70,$I$2:$I$200,"Lost")),IF((COUNTIF($I$2:$I$200,"Won")+COUNTIF($I$2:$I$200,"Lost"))&gt;0,COUNTIF($I$2:$I$200,"Won")/(COUNTIF($I$2:$I$200,"Won")+COUNTIF($I$2:$I$200,"Lost")),Settings!$B$6)))</f>
        <v/>
      </c>
      <c r="R70" s="18">
        <f>IF(OR($B70="",$G70=""),"",$G70*$Q70)</f>
        <v/>
      </c>
      <c r="S70" s="18">
        <f>IF(OR($B70="",$H70=""),"",$H70*Settings!$B$4)</f>
        <v/>
      </c>
      <c r="T70" s="18">
        <f>IF(OR($B70="",$H70="",$H70=0,$G70=""),"",$R70/$H70)</f>
        <v/>
      </c>
      <c r="U70" s="11">
        <f>IF($B70="","",IF($T70="","Add value and hours",IF($T70&gt;=Settings!$B$4*Settings!$B$8,"Worth it",IF($T70&gt;=Settings!$B$4,"Thin","Skip?"))))</f>
        <v/>
      </c>
    </row>
    <row r="71">
      <c r="A71" s="10" t="n"/>
      <c r="B71" s="10" t="n"/>
      <c r="C71" s="10" t="n"/>
      <c r="D71" s="10" t="n"/>
      <c r="E71" s="19" t="n"/>
      <c r="F71" s="19" t="n"/>
      <c r="G71" s="8" t="n"/>
      <c r="H71" s="10" t="n"/>
      <c r="I71" s="10" t="n"/>
      <c r="J71" s="19" t="n"/>
      <c r="K71" s="19" t="n"/>
      <c r="L71" s="10" t="n"/>
      <c r="M71" s="10" t="n"/>
      <c r="N71" s="7">
        <f>IF(OR($F71="",$B71=""),"",$F71-TODAY())</f>
        <v/>
      </c>
      <c r="O71" s="7">
        <f>IF($B71="","",IF(OR($I71="Won",$I71="Lost",$I71="No bid",$I71="Submitted"),"",IF($F71="","No due date",IF($F71&lt;TODAY(),"OVERDUE",IF($F71-TODAY()&lt;=Settings!$B$10,"Due soon","")))))</f>
        <v/>
      </c>
      <c r="P71" s="7">
        <f>IF($B71="","",IF(AND($I71="Submitted",$J71&lt;&gt;"",TODAY()-$J71&gt;Settings!$B$9),"Follow up",""))</f>
        <v/>
      </c>
      <c r="Q71" s="17">
        <f>IF($B71="","",IF((COUNTIFS($D$2:$D$200,$D71,$I$2:$I$200,"Won")+COUNTIFS($D$2:$D$200,$D71,$I$2:$I$200,"Lost"))&gt;=Settings!$B$7,COUNTIFS($D$2:$D$200,$D71,$I$2:$I$200,"Won")/(COUNTIFS($D$2:$D$200,$D71,$I$2:$I$200,"Won")+COUNTIFS($D$2:$D$200,$D71,$I$2:$I$200,"Lost")),IF((COUNTIF($I$2:$I$200,"Won")+COUNTIF($I$2:$I$200,"Lost"))&gt;0,COUNTIF($I$2:$I$200,"Won")/(COUNTIF($I$2:$I$200,"Won")+COUNTIF($I$2:$I$200,"Lost")),Settings!$B$6)))</f>
        <v/>
      </c>
      <c r="R71" s="18">
        <f>IF(OR($B71="",$G71=""),"",$G71*$Q71)</f>
        <v/>
      </c>
      <c r="S71" s="18">
        <f>IF(OR($B71="",$H71=""),"",$H71*Settings!$B$4)</f>
        <v/>
      </c>
      <c r="T71" s="18">
        <f>IF(OR($B71="",$H71="",$H71=0,$G71=""),"",$R71/$H71)</f>
        <v/>
      </c>
      <c r="U71" s="11">
        <f>IF($B71="","",IF($T71="","Add value and hours",IF($T71&gt;=Settings!$B$4*Settings!$B$8,"Worth it",IF($T71&gt;=Settings!$B$4,"Thin","Skip?"))))</f>
        <v/>
      </c>
    </row>
    <row r="72">
      <c r="A72" s="10" t="n"/>
      <c r="B72" s="10" t="n"/>
      <c r="C72" s="10" t="n"/>
      <c r="D72" s="10" t="n"/>
      <c r="E72" s="19" t="n"/>
      <c r="F72" s="19" t="n"/>
      <c r="G72" s="8" t="n"/>
      <c r="H72" s="10" t="n"/>
      <c r="I72" s="10" t="n"/>
      <c r="J72" s="19" t="n"/>
      <c r="K72" s="19" t="n"/>
      <c r="L72" s="10" t="n"/>
      <c r="M72" s="10" t="n"/>
      <c r="N72" s="7">
        <f>IF(OR($F72="",$B72=""),"",$F72-TODAY())</f>
        <v/>
      </c>
      <c r="O72" s="7">
        <f>IF($B72="","",IF(OR($I72="Won",$I72="Lost",$I72="No bid",$I72="Submitted"),"",IF($F72="","No due date",IF($F72&lt;TODAY(),"OVERDUE",IF($F72-TODAY()&lt;=Settings!$B$10,"Due soon","")))))</f>
        <v/>
      </c>
      <c r="P72" s="7">
        <f>IF($B72="","",IF(AND($I72="Submitted",$J72&lt;&gt;"",TODAY()-$J72&gt;Settings!$B$9),"Follow up",""))</f>
        <v/>
      </c>
      <c r="Q72" s="17">
        <f>IF($B72="","",IF((COUNTIFS($D$2:$D$200,$D72,$I$2:$I$200,"Won")+COUNTIFS($D$2:$D$200,$D72,$I$2:$I$200,"Lost"))&gt;=Settings!$B$7,COUNTIFS($D$2:$D$200,$D72,$I$2:$I$200,"Won")/(COUNTIFS($D$2:$D$200,$D72,$I$2:$I$200,"Won")+COUNTIFS($D$2:$D$200,$D72,$I$2:$I$200,"Lost")),IF((COUNTIF($I$2:$I$200,"Won")+COUNTIF($I$2:$I$200,"Lost"))&gt;0,COUNTIF($I$2:$I$200,"Won")/(COUNTIF($I$2:$I$200,"Won")+COUNTIF($I$2:$I$200,"Lost")),Settings!$B$6)))</f>
        <v/>
      </c>
      <c r="R72" s="18">
        <f>IF(OR($B72="",$G72=""),"",$G72*$Q72)</f>
        <v/>
      </c>
      <c r="S72" s="18">
        <f>IF(OR($B72="",$H72=""),"",$H72*Settings!$B$4)</f>
        <v/>
      </c>
      <c r="T72" s="18">
        <f>IF(OR($B72="",$H72="",$H72=0,$G72=""),"",$R72/$H72)</f>
        <v/>
      </c>
      <c r="U72" s="11">
        <f>IF($B72="","",IF($T72="","Add value and hours",IF($T72&gt;=Settings!$B$4*Settings!$B$8,"Worth it",IF($T72&gt;=Settings!$B$4,"Thin","Skip?"))))</f>
        <v/>
      </c>
    </row>
    <row r="73">
      <c r="A73" s="10" t="n"/>
      <c r="B73" s="10" t="n"/>
      <c r="C73" s="10" t="n"/>
      <c r="D73" s="10" t="n"/>
      <c r="E73" s="19" t="n"/>
      <c r="F73" s="19" t="n"/>
      <c r="G73" s="8" t="n"/>
      <c r="H73" s="10" t="n"/>
      <c r="I73" s="10" t="n"/>
      <c r="J73" s="19" t="n"/>
      <c r="K73" s="19" t="n"/>
      <c r="L73" s="10" t="n"/>
      <c r="M73" s="10" t="n"/>
      <c r="N73" s="7">
        <f>IF(OR($F73="",$B73=""),"",$F73-TODAY())</f>
        <v/>
      </c>
      <c r="O73" s="7">
        <f>IF($B73="","",IF(OR($I73="Won",$I73="Lost",$I73="No bid",$I73="Submitted"),"",IF($F73="","No due date",IF($F73&lt;TODAY(),"OVERDUE",IF($F73-TODAY()&lt;=Settings!$B$10,"Due soon","")))))</f>
        <v/>
      </c>
      <c r="P73" s="7">
        <f>IF($B73="","",IF(AND($I73="Submitted",$J73&lt;&gt;"",TODAY()-$J73&gt;Settings!$B$9),"Follow up",""))</f>
        <v/>
      </c>
      <c r="Q73" s="17">
        <f>IF($B73="","",IF((COUNTIFS($D$2:$D$200,$D73,$I$2:$I$200,"Won")+COUNTIFS($D$2:$D$200,$D73,$I$2:$I$200,"Lost"))&gt;=Settings!$B$7,COUNTIFS($D$2:$D$200,$D73,$I$2:$I$200,"Won")/(COUNTIFS($D$2:$D$200,$D73,$I$2:$I$200,"Won")+COUNTIFS($D$2:$D$200,$D73,$I$2:$I$200,"Lost")),IF((COUNTIF($I$2:$I$200,"Won")+COUNTIF($I$2:$I$200,"Lost"))&gt;0,COUNTIF($I$2:$I$200,"Won")/(COUNTIF($I$2:$I$200,"Won")+COUNTIF($I$2:$I$200,"Lost")),Settings!$B$6)))</f>
        <v/>
      </c>
      <c r="R73" s="18">
        <f>IF(OR($B73="",$G73=""),"",$G73*$Q73)</f>
        <v/>
      </c>
      <c r="S73" s="18">
        <f>IF(OR($B73="",$H73=""),"",$H73*Settings!$B$4)</f>
        <v/>
      </c>
      <c r="T73" s="18">
        <f>IF(OR($B73="",$H73="",$H73=0,$G73=""),"",$R73/$H73)</f>
        <v/>
      </c>
      <c r="U73" s="11">
        <f>IF($B73="","",IF($T73="","Add value and hours",IF($T73&gt;=Settings!$B$4*Settings!$B$8,"Worth it",IF($T73&gt;=Settings!$B$4,"Thin","Skip?"))))</f>
        <v/>
      </c>
    </row>
    <row r="74">
      <c r="A74" s="10" t="n"/>
      <c r="B74" s="10" t="n"/>
      <c r="C74" s="10" t="n"/>
      <c r="D74" s="10" t="n"/>
      <c r="E74" s="19" t="n"/>
      <c r="F74" s="19" t="n"/>
      <c r="G74" s="8" t="n"/>
      <c r="H74" s="10" t="n"/>
      <c r="I74" s="10" t="n"/>
      <c r="J74" s="19" t="n"/>
      <c r="K74" s="19" t="n"/>
      <c r="L74" s="10" t="n"/>
      <c r="M74" s="10" t="n"/>
      <c r="N74" s="7">
        <f>IF(OR($F74="",$B74=""),"",$F74-TODAY())</f>
        <v/>
      </c>
      <c r="O74" s="7">
        <f>IF($B74="","",IF(OR($I74="Won",$I74="Lost",$I74="No bid",$I74="Submitted"),"",IF($F74="","No due date",IF($F74&lt;TODAY(),"OVERDUE",IF($F74-TODAY()&lt;=Settings!$B$10,"Due soon","")))))</f>
        <v/>
      </c>
      <c r="P74" s="7">
        <f>IF($B74="","",IF(AND($I74="Submitted",$J74&lt;&gt;"",TODAY()-$J74&gt;Settings!$B$9),"Follow up",""))</f>
        <v/>
      </c>
      <c r="Q74" s="17">
        <f>IF($B74="","",IF((COUNTIFS($D$2:$D$200,$D74,$I$2:$I$200,"Won")+COUNTIFS($D$2:$D$200,$D74,$I$2:$I$200,"Lost"))&gt;=Settings!$B$7,COUNTIFS($D$2:$D$200,$D74,$I$2:$I$200,"Won")/(COUNTIFS($D$2:$D$200,$D74,$I$2:$I$200,"Won")+COUNTIFS($D$2:$D$200,$D74,$I$2:$I$200,"Lost")),IF((COUNTIF($I$2:$I$200,"Won")+COUNTIF($I$2:$I$200,"Lost"))&gt;0,COUNTIF($I$2:$I$200,"Won")/(COUNTIF($I$2:$I$200,"Won")+COUNTIF($I$2:$I$200,"Lost")),Settings!$B$6)))</f>
        <v/>
      </c>
      <c r="R74" s="18">
        <f>IF(OR($B74="",$G74=""),"",$G74*$Q74)</f>
        <v/>
      </c>
      <c r="S74" s="18">
        <f>IF(OR($B74="",$H74=""),"",$H74*Settings!$B$4)</f>
        <v/>
      </c>
      <c r="T74" s="18">
        <f>IF(OR($B74="",$H74="",$H74=0,$G74=""),"",$R74/$H74)</f>
        <v/>
      </c>
      <c r="U74" s="11">
        <f>IF($B74="","",IF($T74="","Add value and hours",IF($T74&gt;=Settings!$B$4*Settings!$B$8,"Worth it",IF($T74&gt;=Settings!$B$4,"Thin","Skip?"))))</f>
        <v/>
      </c>
    </row>
    <row r="75">
      <c r="A75" s="10" t="n"/>
      <c r="B75" s="10" t="n"/>
      <c r="C75" s="10" t="n"/>
      <c r="D75" s="10" t="n"/>
      <c r="E75" s="19" t="n"/>
      <c r="F75" s="19" t="n"/>
      <c r="G75" s="8" t="n"/>
      <c r="H75" s="10" t="n"/>
      <c r="I75" s="10" t="n"/>
      <c r="J75" s="19" t="n"/>
      <c r="K75" s="19" t="n"/>
      <c r="L75" s="10" t="n"/>
      <c r="M75" s="10" t="n"/>
      <c r="N75" s="7">
        <f>IF(OR($F75="",$B75=""),"",$F75-TODAY())</f>
        <v/>
      </c>
      <c r="O75" s="7">
        <f>IF($B75="","",IF(OR($I75="Won",$I75="Lost",$I75="No bid",$I75="Submitted"),"",IF($F75="","No due date",IF($F75&lt;TODAY(),"OVERDUE",IF($F75-TODAY()&lt;=Settings!$B$10,"Due soon","")))))</f>
        <v/>
      </c>
      <c r="P75" s="7">
        <f>IF($B75="","",IF(AND($I75="Submitted",$J75&lt;&gt;"",TODAY()-$J75&gt;Settings!$B$9),"Follow up",""))</f>
        <v/>
      </c>
      <c r="Q75" s="17">
        <f>IF($B75="","",IF((COUNTIFS($D$2:$D$200,$D75,$I$2:$I$200,"Won")+COUNTIFS($D$2:$D$200,$D75,$I$2:$I$200,"Lost"))&gt;=Settings!$B$7,COUNTIFS($D$2:$D$200,$D75,$I$2:$I$200,"Won")/(COUNTIFS($D$2:$D$200,$D75,$I$2:$I$200,"Won")+COUNTIFS($D$2:$D$200,$D75,$I$2:$I$200,"Lost")),IF((COUNTIF($I$2:$I$200,"Won")+COUNTIF($I$2:$I$200,"Lost"))&gt;0,COUNTIF($I$2:$I$200,"Won")/(COUNTIF($I$2:$I$200,"Won")+COUNTIF($I$2:$I$200,"Lost")),Settings!$B$6)))</f>
        <v/>
      </c>
      <c r="R75" s="18">
        <f>IF(OR($B75="",$G75=""),"",$G75*$Q75)</f>
        <v/>
      </c>
      <c r="S75" s="18">
        <f>IF(OR($B75="",$H75=""),"",$H75*Settings!$B$4)</f>
        <v/>
      </c>
      <c r="T75" s="18">
        <f>IF(OR($B75="",$H75="",$H75=0,$G75=""),"",$R75/$H75)</f>
        <v/>
      </c>
      <c r="U75" s="11">
        <f>IF($B75="","",IF($T75="","Add value and hours",IF($T75&gt;=Settings!$B$4*Settings!$B$8,"Worth it",IF($T75&gt;=Settings!$B$4,"Thin","Skip?"))))</f>
        <v/>
      </c>
    </row>
    <row r="76">
      <c r="A76" s="10" t="n"/>
      <c r="B76" s="10" t="n"/>
      <c r="C76" s="10" t="n"/>
      <c r="D76" s="10" t="n"/>
      <c r="E76" s="19" t="n"/>
      <c r="F76" s="19" t="n"/>
      <c r="G76" s="8" t="n"/>
      <c r="H76" s="10" t="n"/>
      <c r="I76" s="10" t="n"/>
      <c r="J76" s="19" t="n"/>
      <c r="K76" s="19" t="n"/>
      <c r="L76" s="10" t="n"/>
      <c r="M76" s="10" t="n"/>
      <c r="N76" s="7">
        <f>IF(OR($F76="",$B76=""),"",$F76-TODAY())</f>
        <v/>
      </c>
      <c r="O76" s="7">
        <f>IF($B76="","",IF(OR($I76="Won",$I76="Lost",$I76="No bid",$I76="Submitted"),"",IF($F76="","No due date",IF($F76&lt;TODAY(),"OVERDUE",IF($F76-TODAY()&lt;=Settings!$B$10,"Due soon","")))))</f>
        <v/>
      </c>
      <c r="P76" s="7">
        <f>IF($B76="","",IF(AND($I76="Submitted",$J76&lt;&gt;"",TODAY()-$J76&gt;Settings!$B$9),"Follow up",""))</f>
        <v/>
      </c>
      <c r="Q76" s="17">
        <f>IF($B76="","",IF((COUNTIFS($D$2:$D$200,$D76,$I$2:$I$200,"Won")+COUNTIFS($D$2:$D$200,$D76,$I$2:$I$200,"Lost"))&gt;=Settings!$B$7,COUNTIFS($D$2:$D$200,$D76,$I$2:$I$200,"Won")/(COUNTIFS($D$2:$D$200,$D76,$I$2:$I$200,"Won")+COUNTIFS($D$2:$D$200,$D76,$I$2:$I$200,"Lost")),IF((COUNTIF($I$2:$I$200,"Won")+COUNTIF($I$2:$I$200,"Lost"))&gt;0,COUNTIF($I$2:$I$200,"Won")/(COUNTIF($I$2:$I$200,"Won")+COUNTIF($I$2:$I$200,"Lost")),Settings!$B$6)))</f>
        <v/>
      </c>
      <c r="R76" s="18">
        <f>IF(OR($B76="",$G76=""),"",$G76*$Q76)</f>
        <v/>
      </c>
      <c r="S76" s="18">
        <f>IF(OR($B76="",$H76=""),"",$H76*Settings!$B$4)</f>
        <v/>
      </c>
      <c r="T76" s="18">
        <f>IF(OR($B76="",$H76="",$H76=0,$G76=""),"",$R76/$H76)</f>
        <v/>
      </c>
      <c r="U76" s="11">
        <f>IF($B76="","",IF($T76="","Add value and hours",IF($T76&gt;=Settings!$B$4*Settings!$B$8,"Worth it",IF($T76&gt;=Settings!$B$4,"Thin","Skip?"))))</f>
        <v/>
      </c>
    </row>
    <row r="77">
      <c r="A77" s="10" t="n"/>
      <c r="B77" s="10" t="n"/>
      <c r="C77" s="10" t="n"/>
      <c r="D77" s="10" t="n"/>
      <c r="E77" s="19" t="n"/>
      <c r="F77" s="19" t="n"/>
      <c r="G77" s="8" t="n"/>
      <c r="H77" s="10" t="n"/>
      <c r="I77" s="10" t="n"/>
      <c r="J77" s="19" t="n"/>
      <c r="K77" s="19" t="n"/>
      <c r="L77" s="10" t="n"/>
      <c r="M77" s="10" t="n"/>
      <c r="N77" s="7">
        <f>IF(OR($F77="",$B77=""),"",$F77-TODAY())</f>
        <v/>
      </c>
      <c r="O77" s="7">
        <f>IF($B77="","",IF(OR($I77="Won",$I77="Lost",$I77="No bid",$I77="Submitted"),"",IF($F77="","No due date",IF($F77&lt;TODAY(),"OVERDUE",IF($F77-TODAY()&lt;=Settings!$B$10,"Due soon","")))))</f>
        <v/>
      </c>
      <c r="P77" s="7">
        <f>IF($B77="","",IF(AND($I77="Submitted",$J77&lt;&gt;"",TODAY()-$J77&gt;Settings!$B$9),"Follow up",""))</f>
        <v/>
      </c>
      <c r="Q77" s="17">
        <f>IF($B77="","",IF((COUNTIFS($D$2:$D$200,$D77,$I$2:$I$200,"Won")+COUNTIFS($D$2:$D$200,$D77,$I$2:$I$200,"Lost"))&gt;=Settings!$B$7,COUNTIFS($D$2:$D$200,$D77,$I$2:$I$200,"Won")/(COUNTIFS($D$2:$D$200,$D77,$I$2:$I$200,"Won")+COUNTIFS($D$2:$D$200,$D77,$I$2:$I$200,"Lost")),IF((COUNTIF($I$2:$I$200,"Won")+COUNTIF($I$2:$I$200,"Lost"))&gt;0,COUNTIF($I$2:$I$200,"Won")/(COUNTIF($I$2:$I$200,"Won")+COUNTIF($I$2:$I$200,"Lost")),Settings!$B$6)))</f>
        <v/>
      </c>
      <c r="R77" s="18">
        <f>IF(OR($B77="",$G77=""),"",$G77*$Q77)</f>
        <v/>
      </c>
      <c r="S77" s="18">
        <f>IF(OR($B77="",$H77=""),"",$H77*Settings!$B$4)</f>
        <v/>
      </c>
      <c r="T77" s="18">
        <f>IF(OR($B77="",$H77="",$H77=0,$G77=""),"",$R77/$H77)</f>
        <v/>
      </c>
      <c r="U77" s="11">
        <f>IF($B77="","",IF($T77="","Add value and hours",IF($T77&gt;=Settings!$B$4*Settings!$B$8,"Worth it",IF($T77&gt;=Settings!$B$4,"Thin","Skip?"))))</f>
        <v/>
      </c>
    </row>
    <row r="78">
      <c r="A78" s="10" t="n"/>
      <c r="B78" s="10" t="n"/>
      <c r="C78" s="10" t="n"/>
      <c r="D78" s="10" t="n"/>
      <c r="E78" s="19" t="n"/>
      <c r="F78" s="19" t="n"/>
      <c r="G78" s="8" t="n"/>
      <c r="H78" s="10" t="n"/>
      <c r="I78" s="10" t="n"/>
      <c r="J78" s="19" t="n"/>
      <c r="K78" s="19" t="n"/>
      <c r="L78" s="10" t="n"/>
      <c r="M78" s="10" t="n"/>
      <c r="N78" s="7">
        <f>IF(OR($F78="",$B78=""),"",$F78-TODAY())</f>
        <v/>
      </c>
      <c r="O78" s="7">
        <f>IF($B78="","",IF(OR($I78="Won",$I78="Lost",$I78="No bid",$I78="Submitted"),"",IF($F78="","No due date",IF($F78&lt;TODAY(),"OVERDUE",IF($F78-TODAY()&lt;=Settings!$B$10,"Due soon","")))))</f>
        <v/>
      </c>
      <c r="P78" s="7">
        <f>IF($B78="","",IF(AND($I78="Submitted",$J78&lt;&gt;"",TODAY()-$J78&gt;Settings!$B$9),"Follow up",""))</f>
        <v/>
      </c>
      <c r="Q78" s="17">
        <f>IF($B78="","",IF((COUNTIFS($D$2:$D$200,$D78,$I$2:$I$200,"Won")+COUNTIFS($D$2:$D$200,$D78,$I$2:$I$200,"Lost"))&gt;=Settings!$B$7,COUNTIFS($D$2:$D$200,$D78,$I$2:$I$200,"Won")/(COUNTIFS($D$2:$D$200,$D78,$I$2:$I$200,"Won")+COUNTIFS($D$2:$D$200,$D78,$I$2:$I$200,"Lost")),IF((COUNTIF($I$2:$I$200,"Won")+COUNTIF($I$2:$I$200,"Lost"))&gt;0,COUNTIF($I$2:$I$200,"Won")/(COUNTIF($I$2:$I$200,"Won")+COUNTIF($I$2:$I$200,"Lost")),Settings!$B$6)))</f>
        <v/>
      </c>
      <c r="R78" s="18">
        <f>IF(OR($B78="",$G78=""),"",$G78*$Q78)</f>
        <v/>
      </c>
      <c r="S78" s="18">
        <f>IF(OR($B78="",$H78=""),"",$H78*Settings!$B$4)</f>
        <v/>
      </c>
      <c r="T78" s="18">
        <f>IF(OR($B78="",$H78="",$H78=0,$G78=""),"",$R78/$H78)</f>
        <v/>
      </c>
      <c r="U78" s="11">
        <f>IF($B78="","",IF($T78="","Add value and hours",IF($T78&gt;=Settings!$B$4*Settings!$B$8,"Worth it",IF($T78&gt;=Settings!$B$4,"Thin","Skip?"))))</f>
        <v/>
      </c>
    </row>
    <row r="79">
      <c r="A79" s="10" t="n"/>
      <c r="B79" s="10" t="n"/>
      <c r="C79" s="10" t="n"/>
      <c r="D79" s="10" t="n"/>
      <c r="E79" s="19" t="n"/>
      <c r="F79" s="19" t="n"/>
      <c r="G79" s="8" t="n"/>
      <c r="H79" s="10" t="n"/>
      <c r="I79" s="10" t="n"/>
      <c r="J79" s="19" t="n"/>
      <c r="K79" s="19" t="n"/>
      <c r="L79" s="10" t="n"/>
      <c r="M79" s="10" t="n"/>
      <c r="N79" s="7">
        <f>IF(OR($F79="",$B79=""),"",$F79-TODAY())</f>
        <v/>
      </c>
      <c r="O79" s="7">
        <f>IF($B79="","",IF(OR($I79="Won",$I79="Lost",$I79="No bid",$I79="Submitted"),"",IF($F79="","No due date",IF($F79&lt;TODAY(),"OVERDUE",IF($F79-TODAY()&lt;=Settings!$B$10,"Due soon","")))))</f>
        <v/>
      </c>
      <c r="P79" s="7">
        <f>IF($B79="","",IF(AND($I79="Submitted",$J79&lt;&gt;"",TODAY()-$J79&gt;Settings!$B$9),"Follow up",""))</f>
        <v/>
      </c>
      <c r="Q79" s="17">
        <f>IF($B79="","",IF((COUNTIFS($D$2:$D$200,$D79,$I$2:$I$200,"Won")+COUNTIFS($D$2:$D$200,$D79,$I$2:$I$200,"Lost"))&gt;=Settings!$B$7,COUNTIFS($D$2:$D$200,$D79,$I$2:$I$200,"Won")/(COUNTIFS($D$2:$D$200,$D79,$I$2:$I$200,"Won")+COUNTIFS($D$2:$D$200,$D79,$I$2:$I$200,"Lost")),IF((COUNTIF($I$2:$I$200,"Won")+COUNTIF($I$2:$I$200,"Lost"))&gt;0,COUNTIF($I$2:$I$200,"Won")/(COUNTIF($I$2:$I$200,"Won")+COUNTIF($I$2:$I$200,"Lost")),Settings!$B$6)))</f>
        <v/>
      </c>
      <c r="R79" s="18">
        <f>IF(OR($B79="",$G79=""),"",$G79*$Q79)</f>
        <v/>
      </c>
      <c r="S79" s="18">
        <f>IF(OR($B79="",$H79=""),"",$H79*Settings!$B$4)</f>
        <v/>
      </c>
      <c r="T79" s="18">
        <f>IF(OR($B79="",$H79="",$H79=0,$G79=""),"",$R79/$H79)</f>
        <v/>
      </c>
      <c r="U79" s="11">
        <f>IF($B79="","",IF($T79="","Add value and hours",IF($T79&gt;=Settings!$B$4*Settings!$B$8,"Worth it",IF($T79&gt;=Settings!$B$4,"Thin","Skip?"))))</f>
        <v/>
      </c>
    </row>
    <row r="80">
      <c r="A80" s="10" t="n"/>
      <c r="B80" s="10" t="n"/>
      <c r="C80" s="10" t="n"/>
      <c r="D80" s="10" t="n"/>
      <c r="E80" s="19" t="n"/>
      <c r="F80" s="19" t="n"/>
      <c r="G80" s="8" t="n"/>
      <c r="H80" s="10" t="n"/>
      <c r="I80" s="10" t="n"/>
      <c r="J80" s="19" t="n"/>
      <c r="K80" s="19" t="n"/>
      <c r="L80" s="10" t="n"/>
      <c r="M80" s="10" t="n"/>
      <c r="N80" s="7">
        <f>IF(OR($F80="",$B80=""),"",$F80-TODAY())</f>
        <v/>
      </c>
      <c r="O80" s="7">
        <f>IF($B80="","",IF(OR($I80="Won",$I80="Lost",$I80="No bid",$I80="Submitted"),"",IF($F80="","No due date",IF($F80&lt;TODAY(),"OVERDUE",IF($F80-TODAY()&lt;=Settings!$B$10,"Due soon","")))))</f>
        <v/>
      </c>
      <c r="P80" s="7">
        <f>IF($B80="","",IF(AND($I80="Submitted",$J80&lt;&gt;"",TODAY()-$J80&gt;Settings!$B$9),"Follow up",""))</f>
        <v/>
      </c>
      <c r="Q80" s="17">
        <f>IF($B80="","",IF((COUNTIFS($D$2:$D$200,$D80,$I$2:$I$200,"Won")+COUNTIFS($D$2:$D$200,$D80,$I$2:$I$200,"Lost"))&gt;=Settings!$B$7,COUNTIFS($D$2:$D$200,$D80,$I$2:$I$200,"Won")/(COUNTIFS($D$2:$D$200,$D80,$I$2:$I$200,"Won")+COUNTIFS($D$2:$D$200,$D80,$I$2:$I$200,"Lost")),IF((COUNTIF($I$2:$I$200,"Won")+COUNTIF($I$2:$I$200,"Lost"))&gt;0,COUNTIF($I$2:$I$200,"Won")/(COUNTIF($I$2:$I$200,"Won")+COUNTIF($I$2:$I$200,"Lost")),Settings!$B$6)))</f>
        <v/>
      </c>
      <c r="R80" s="18">
        <f>IF(OR($B80="",$G80=""),"",$G80*$Q80)</f>
        <v/>
      </c>
      <c r="S80" s="18">
        <f>IF(OR($B80="",$H80=""),"",$H80*Settings!$B$4)</f>
        <v/>
      </c>
      <c r="T80" s="18">
        <f>IF(OR($B80="",$H80="",$H80=0,$G80=""),"",$R80/$H80)</f>
        <v/>
      </c>
      <c r="U80" s="11">
        <f>IF($B80="","",IF($T80="","Add value and hours",IF($T80&gt;=Settings!$B$4*Settings!$B$8,"Worth it",IF($T80&gt;=Settings!$B$4,"Thin","Skip?"))))</f>
        <v/>
      </c>
    </row>
    <row r="81">
      <c r="A81" s="10" t="n"/>
      <c r="B81" s="10" t="n"/>
      <c r="C81" s="10" t="n"/>
      <c r="D81" s="10" t="n"/>
      <c r="E81" s="19" t="n"/>
      <c r="F81" s="19" t="n"/>
      <c r="G81" s="8" t="n"/>
      <c r="H81" s="10" t="n"/>
      <c r="I81" s="10" t="n"/>
      <c r="J81" s="19" t="n"/>
      <c r="K81" s="19" t="n"/>
      <c r="L81" s="10" t="n"/>
      <c r="M81" s="10" t="n"/>
      <c r="N81" s="7">
        <f>IF(OR($F81="",$B81=""),"",$F81-TODAY())</f>
        <v/>
      </c>
      <c r="O81" s="7">
        <f>IF($B81="","",IF(OR($I81="Won",$I81="Lost",$I81="No bid",$I81="Submitted"),"",IF($F81="","No due date",IF($F81&lt;TODAY(),"OVERDUE",IF($F81-TODAY()&lt;=Settings!$B$10,"Due soon","")))))</f>
        <v/>
      </c>
      <c r="P81" s="7">
        <f>IF($B81="","",IF(AND($I81="Submitted",$J81&lt;&gt;"",TODAY()-$J81&gt;Settings!$B$9),"Follow up",""))</f>
        <v/>
      </c>
      <c r="Q81" s="17">
        <f>IF($B81="","",IF((COUNTIFS($D$2:$D$200,$D81,$I$2:$I$200,"Won")+COUNTIFS($D$2:$D$200,$D81,$I$2:$I$200,"Lost"))&gt;=Settings!$B$7,COUNTIFS($D$2:$D$200,$D81,$I$2:$I$200,"Won")/(COUNTIFS($D$2:$D$200,$D81,$I$2:$I$200,"Won")+COUNTIFS($D$2:$D$200,$D81,$I$2:$I$200,"Lost")),IF((COUNTIF($I$2:$I$200,"Won")+COUNTIF($I$2:$I$200,"Lost"))&gt;0,COUNTIF($I$2:$I$200,"Won")/(COUNTIF($I$2:$I$200,"Won")+COUNTIF($I$2:$I$200,"Lost")),Settings!$B$6)))</f>
        <v/>
      </c>
      <c r="R81" s="18">
        <f>IF(OR($B81="",$G81=""),"",$G81*$Q81)</f>
        <v/>
      </c>
      <c r="S81" s="18">
        <f>IF(OR($B81="",$H81=""),"",$H81*Settings!$B$4)</f>
        <v/>
      </c>
      <c r="T81" s="18">
        <f>IF(OR($B81="",$H81="",$H81=0,$G81=""),"",$R81/$H81)</f>
        <v/>
      </c>
      <c r="U81" s="11">
        <f>IF($B81="","",IF($T81="","Add value and hours",IF($T81&gt;=Settings!$B$4*Settings!$B$8,"Worth it",IF($T81&gt;=Settings!$B$4,"Thin","Skip?"))))</f>
        <v/>
      </c>
    </row>
    <row r="82">
      <c r="A82" s="10" t="n"/>
      <c r="B82" s="10" t="n"/>
      <c r="C82" s="10" t="n"/>
      <c r="D82" s="10" t="n"/>
      <c r="E82" s="19" t="n"/>
      <c r="F82" s="19" t="n"/>
      <c r="G82" s="8" t="n"/>
      <c r="H82" s="10" t="n"/>
      <c r="I82" s="10" t="n"/>
      <c r="J82" s="19" t="n"/>
      <c r="K82" s="19" t="n"/>
      <c r="L82" s="10" t="n"/>
      <c r="M82" s="10" t="n"/>
      <c r="N82" s="7">
        <f>IF(OR($F82="",$B82=""),"",$F82-TODAY())</f>
        <v/>
      </c>
      <c r="O82" s="7">
        <f>IF($B82="","",IF(OR($I82="Won",$I82="Lost",$I82="No bid",$I82="Submitted"),"",IF($F82="","No due date",IF($F82&lt;TODAY(),"OVERDUE",IF($F82-TODAY()&lt;=Settings!$B$10,"Due soon","")))))</f>
        <v/>
      </c>
      <c r="P82" s="7">
        <f>IF($B82="","",IF(AND($I82="Submitted",$J82&lt;&gt;"",TODAY()-$J82&gt;Settings!$B$9),"Follow up",""))</f>
        <v/>
      </c>
      <c r="Q82" s="17">
        <f>IF($B82="","",IF((COUNTIFS($D$2:$D$200,$D82,$I$2:$I$200,"Won")+COUNTIFS($D$2:$D$200,$D82,$I$2:$I$200,"Lost"))&gt;=Settings!$B$7,COUNTIFS($D$2:$D$200,$D82,$I$2:$I$200,"Won")/(COUNTIFS($D$2:$D$200,$D82,$I$2:$I$200,"Won")+COUNTIFS($D$2:$D$200,$D82,$I$2:$I$200,"Lost")),IF((COUNTIF($I$2:$I$200,"Won")+COUNTIF($I$2:$I$200,"Lost"))&gt;0,COUNTIF($I$2:$I$200,"Won")/(COUNTIF($I$2:$I$200,"Won")+COUNTIF($I$2:$I$200,"Lost")),Settings!$B$6)))</f>
        <v/>
      </c>
      <c r="R82" s="18">
        <f>IF(OR($B82="",$G82=""),"",$G82*$Q82)</f>
        <v/>
      </c>
      <c r="S82" s="18">
        <f>IF(OR($B82="",$H82=""),"",$H82*Settings!$B$4)</f>
        <v/>
      </c>
      <c r="T82" s="18">
        <f>IF(OR($B82="",$H82="",$H82=0,$G82=""),"",$R82/$H82)</f>
        <v/>
      </c>
      <c r="U82" s="11">
        <f>IF($B82="","",IF($T82="","Add value and hours",IF($T82&gt;=Settings!$B$4*Settings!$B$8,"Worth it",IF($T82&gt;=Settings!$B$4,"Thin","Skip?"))))</f>
        <v/>
      </c>
    </row>
    <row r="83">
      <c r="A83" s="10" t="n"/>
      <c r="B83" s="10" t="n"/>
      <c r="C83" s="10" t="n"/>
      <c r="D83" s="10" t="n"/>
      <c r="E83" s="19" t="n"/>
      <c r="F83" s="19" t="n"/>
      <c r="G83" s="8" t="n"/>
      <c r="H83" s="10" t="n"/>
      <c r="I83" s="10" t="n"/>
      <c r="J83" s="19" t="n"/>
      <c r="K83" s="19" t="n"/>
      <c r="L83" s="10" t="n"/>
      <c r="M83" s="10" t="n"/>
      <c r="N83" s="7">
        <f>IF(OR($F83="",$B83=""),"",$F83-TODAY())</f>
        <v/>
      </c>
      <c r="O83" s="7">
        <f>IF($B83="","",IF(OR($I83="Won",$I83="Lost",$I83="No bid",$I83="Submitted"),"",IF($F83="","No due date",IF($F83&lt;TODAY(),"OVERDUE",IF($F83-TODAY()&lt;=Settings!$B$10,"Due soon","")))))</f>
        <v/>
      </c>
      <c r="P83" s="7">
        <f>IF($B83="","",IF(AND($I83="Submitted",$J83&lt;&gt;"",TODAY()-$J83&gt;Settings!$B$9),"Follow up",""))</f>
        <v/>
      </c>
      <c r="Q83" s="17">
        <f>IF($B83="","",IF((COUNTIFS($D$2:$D$200,$D83,$I$2:$I$200,"Won")+COUNTIFS($D$2:$D$200,$D83,$I$2:$I$200,"Lost"))&gt;=Settings!$B$7,COUNTIFS($D$2:$D$200,$D83,$I$2:$I$200,"Won")/(COUNTIFS($D$2:$D$200,$D83,$I$2:$I$200,"Won")+COUNTIFS($D$2:$D$200,$D83,$I$2:$I$200,"Lost")),IF((COUNTIF($I$2:$I$200,"Won")+COUNTIF($I$2:$I$200,"Lost"))&gt;0,COUNTIF($I$2:$I$200,"Won")/(COUNTIF($I$2:$I$200,"Won")+COUNTIF($I$2:$I$200,"Lost")),Settings!$B$6)))</f>
        <v/>
      </c>
      <c r="R83" s="18">
        <f>IF(OR($B83="",$G83=""),"",$G83*$Q83)</f>
        <v/>
      </c>
      <c r="S83" s="18">
        <f>IF(OR($B83="",$H83=""),"",$H83*Settings!$B$4)</f>
        <v/>
      </c>
      <c r="T83" s="18">
        <f>IF(OR($B83="",$H83="",$H83=0,$G83=""),"",$R83/$H83)</f>
        <v/>
      </c>
      <c r="U83" s="11">
        <f>IF($B83="","",IF($T83="","Add value and hours",IF($T83&gt;=Settings!$B$4*Settings!$B$8,"Worth it",IF($T83&gt;=Settings!$B$4,"Thin","Skip?"))))</f>
        <v/>
      </c>
    </row>
    <row r="84">
      <c r="A84" s="10" t="n"/>
      <c r="B84" s="10" t="n"/>
      <c r="C84" s="10" t="n"/>
      <c r="D84" s="10" t="n"/>
      <c r="E84" s="19" t="n"/>
      <c r="F84" s="19" t="n"/>
      <c r="G84" s="8" t="n"/>
      <c r="H84" s="10" t="n"/>
      <c r="I84" s="10" t="n"/>
      <c r="J84" s="19" t="n"/>
      <c r="K84" s="19" t="n"/>
      <c r="L84" s="10" t="n"/>
      <c r="M84" s="10" t="n"/>
      <c r="N84" s="7">
        <f>IF(OR($F84="",$B84=""),"",$F84-TODAY())</f>
        <v/>
      </c>
      <c r="O84" s="7">
        <f>IF($B84="","",IF(OR($I84="Won",$I84="Lost",$I84="No bid",$I84="Submitted"),"",IF($F84="","No due date",IF($F84&lt;TODAY(),"OVERDUE",IF($F84-TODAY()&lt;=Settings!$B$10,"Due soon","")))))</f>
        <v/>
      </c>
      <c r="P84" s="7">
        <f>IF($B84="","",IF(AND($I84="Submitted",$J84&lt;&gt;"",TODAY()-$J84&gt;Settings!$B$9),"Follow up",""))</f>
        <v/>
      </c>
      <c r="Q84" s="17">
        <f>IF($B84="","",IF((COUNTIFS($D$2:$D$200,$D84,$I$2:$I$200,"Won")+COUNTIFS($D$2:$D$200,$D84,$I$2:$I$200,"Lost"))&gt;=Settings!$B$7,COUNTIFS($D$2:$D$200,$D84,$I$2:$I$200,"Won")/(COUNTIFS($D$2:$D$200,$D84,$I$2:$I$200,"Won")+COUNTIFS($D$2:$D$200,$D84,$I$2:$I$200,"Lost")),IF((COUNTIF($I$2:$I$200,"Won")+COUNTIF($I$2:$I$200,"Lost"))&gt;0,COUNTIF($I$2:$I$200,"Won")/(COUNTIF($I$2:$I$200,"Won")+COUNTIF($I$2:$I$200,"Lost")),Settings!$B$6)))</f>
        <v/>
      </c>
      <c r="R84" s="18">
        <f>IF(OR($B84="",$G84=""),"",$G84*$Q84)</f>
        <v/>
      </c>
      <c r="S84" s="18">
        <f>IF(OR($B84="",$H84=""),"",$H84*Settings!$B$4)</f>
        <v/>
      </c>
      <c r="T84" s="18">
        <f>IF(OR($B84="",$H84="",$H84=0,$G84=""),"",$R84/$H84)</f>
        <v/>
      </c>
      <c r="U84" s="11">
        <f>IF($B84="","",IF($T84="","Add value and hours",IF($T84&gt;=Settings!$B$4*Settings!$B$8,"Worth it",IF($T84&gt;=Settings!$B$4,"Thin","Skip?"))))</f>
        <v/>
      </c>
    </row>
    <row r="85">
      <c r="A85" s="10" t="n"/>
      <c r="B85" s="10" t="n"/>
      <c r="C85" s="10" t="n"/>
      <c r="D85" s="10" t="n"/>
      <c r="E85" s="19" t="n"/>
      <c r="F85" s="19" t="n"/>
      <c r="G85" s="8" t="n"/>
      <c r="H85" s="10" t="n"/>
      <c r="I85" s="10" t="n"/>
      <c r="J85" s="19" t="n"/>
      <c r="K85" s="19" t="n"/>
      <c r="L85" s="10" t="n"/>
      <c r="M85" s="10" t="n"/>
      <c r="N85" s="7">
        <f>IF(OR($F85="",$B85=""),"",$F85-TODAY())</f>
        <v/>
      </c>
      <c r="O85" s="7">
        <f>IF($B85="","",IF(OR($I85="Won",$I85="Lost",$I85="No bid",$I85="Submitted"),"",IF($F85="","No due date",IF($F85&lt;TODAY(),"OVERDUE",IF($F85-TODAY()&lt;=Settings!$B$10,"Due soon","")))))</f>
        <v/>
      </c>
      <c r="P85" s="7">
        <f>IF($B85="","",IF(AND($I85="Submitted",$J85&lt;&gt;"",TODAY()-$J85&gt;Settings!$B$9),"Follow up",""))</f>
        <v/>
      </c>
      <c r="Q85" s="17">
        <f>IF($B85="","",IF((COUNTIFS($D$2:$D$200,$D85,$I$2:$I$200,"Won")+COUNTIFS($D$2:$D$200,$D85,$I$2:$I$200,"Lost"))&gt;=Settings!$B$7,COUNTIFS($D$2:$D$200,$D85,$I$2:$I$200,"Won")/(COUNTIFS($D$2:$D$200,$D85,$I$2:$I$200,"Won")+COUNTIFS($D$2:$D$200,$D85,$I$2:$I$200,"Lost")),IF((COUNTIF($I$2:$I$200,"Won")+COUNTIF($I$2:$I$200,"Lost"))&gt;0,COUNTIF($I$2:$I$200,"Won")/(COUNTIF($I$2:$I$200,"Won")+COUNTIF($I$2:$I$200,"Lost")),Settings!$B$6)))</f>
        <v/>
      </c>
      <c r="R85" s="18">
        <f>IF(OR($B85="",$G85=""),"",$G85*$Q85)</f>
        <v/>
      </c>
      <c r="S85" s="18">
        <f>IF(OR($B85="",$H85=""),"",$H85*Settings!$B$4)</f>
        <v/>
      </c>
      <c r="T85" s="18">
        <f>IF(OR($B85="",$H85="",$H85=0,$G85=""),"",$R85/$H85)</f>
        <v/>
      </c>
      <c r="U85" s="11">
        <f>IF($B85="","",IF($T85="","Add value and hours",IF($T85&gt;=Settings!$B$4*Settings!$B$8,"Worth it",IF($T85&gt;=Settings!$B$4,"Thin","Skip?"))))</f>
        <v/>
      </c>
    </row>
    <row r="86">
      <c r="A86" s="10" t="n"/>
      <c r="B86" s="10" t="n"/>
      <c r="C86" s="10" t="n"/>
      <c r="D86" s="10" t="n"/>
      <c r="E86" s="19" t="n"/>
      <c r="F86" s="19" t="n"/>
      <c r="G86" s="8" t="n"/>
      <c r="H86" s="10" t="n"/>
      <c r="I86" s="10" t="n"/>
      <c r="J86" s="19" t="n"/>
      <c r="K86" s="19" t="n"/>
      <c r="L86" s="10" t="n"/>
      <c r="M86" s="10" t="n"/>
      <c r="N86" s="7">
        <f>IF(OR($F86="",$B86=""),"",$F86-TODAY())</f>
        <v/>
      </c>
      <c r="O86" s="7">
        <f>IF($B86="","",IF(OR($I86="Won",$I86="Lost",$I86="No bid",$I86="Submitted"),"",IF($F86="","No due date",IF($F86&lt;TODAY(),"OVERDUE",IF($F86-TODAY()&lt;=Settings!$B$10,"Due soon","")))))</f>
        <v/>
      </c>
      <c r="P86" s="7">
        <f>IF($B86="","",IF(AND($I86="Submitted",$J86&lt;&gt;"",TODAY()-$J86&gt;Settings!$B$9),"Follow up",""))</f>
        <v/>
      </c>
      <c r="Q86" s="17">
        <f>IF($B86="","",IF((COUNTIFS($D$2:$D$200,$D86,$I$2:$I$200,"Won")+COUNTIFS($D$2:$D$200,$D86,$I$2:$I$200,"Lost"))&gt;=Settings!$B$7,COUNTIFS($D$2:$D$200,$D86,$I$2:$I$200,"Won")/(COUNTIFS($D$2:$D$200,$D86,$I$2:$I$200,"Won")+COUNTIFS($D$2:$D$200,$D86,$I$2:$I$200,"Lost")),IF((COUNTIF($I$2:$I$200,"Won")+COUNTIF($I$2:$I$200,"Lost"))&gt;0,COUNTIF($I$2:$I$200,"Won")/(COUNTIF($I$2:$I$200,"Won")+COUNTIF($I$2:$I$200,"Lost")),Settings!$B$6)))</f>
        <v/>
      </c>
      <c r="R86" s="18">
        <f>IF(OR($B86="",$G86=""),"",$G86*$Q86)</f>
        <v/>
      </c>
      <c r="S86" s="18">
        <f>IF(OR($B86="",$H86=""),"",$H86*Settings!$B$4)</f>
        <v/>
      </c>
      <c r="T86" s="18">
        <f>IF(OR($B86="",$H86="",$H86=0,$G86=""),"",$R86/$H86)</f>
        <v/>
      </c>
      <c r="U86" s="11">
        <f>IF($B86="","",IF($T86="","Add value and hours",IF($T86&gt;=Settings!$B$4*Settings!$B$8,"Worth it",IF($T86&gt;=Settings!$B$4,"Thin","Skip?"))))</f>
        <v/>
      </c>
    </row>
    <row r="87">
      <c r="A87" s="10" t="n"/>
      <c r="B87" s="10" t="n"/>
      <c r="C87" s="10" t="n"/>
      <c r="D87" s="10" t="n"/>
      <c r="E87" s="19" t="n"/>
      <c r="F87" s="19" t="n"/>
      <c r="G87" s="8" t="n"/>
      <c r="H87" s="10" t="n"/>
      <c r="I87" s="10" t="n"/>
      <c r="J87" s="19" t="n"/>
      <c r="K87" s="19" t="n"/>
      <c r="L87" s="10" t="n"/>
      <c r="M87" s="10" t="n"/>
      <c r="N87" s="7">
        <f>IF(OR($F87="",$B87=""),"",$F87-TODAY())</f>
        <v/>
      </c>
      <c r="O87" s="7">
        <f>IF($B87="","",IF(OR($I87="Won",$I87="Lost",$I87="No bid",$I87="Submitted"),"",IF($F87="","No due date",IF($F87&lt;TODAY(),"OVERDUE",IF($F87-TODAY()&lt;=Settings!$B$10,"Due soon","")))))</f>
        <v/>
      </c>
      <c r="P87" s="7">
        <f>IF($B87="","",IF(AND($I87="Submitted",$J87&lt;&gt;"",TODAY()-$J87&gt;Settings!$B$9),"Follow up",""))</f>
        <v/>
      </c>
      <c r="Q87" s="17">
        <f>IF($B87="","",IF((COUNTIFS($D$2:$D$200,$D87,$I$2:$I$200,"Won")+COUNTIFS($D$2:$D$200,$D87,$I$2:$I$200,"Lost"))&gt;=Settings!$B$7,COUNTIFS($D$2:$D$200,$D87,$I$2:$I$200,"Won")/(COUNTIFS($D$2:$D$200,$D87,$I$2:$I$200,"Won")+COUNTIFS($D$2:$D$200,$D87,$I$2:$I$200,"Lost")),IF((COUNTIF($I$2:$I$200,"Won")+COUNTIF($I$2:$I$200,"Lost"))&gt;0,COUNTIF($I$2:$I$200,"Won")/(COUNTIF($I$2:$I$200,"Won")+COUNTIF($I$2:$I$200,"Lost")),Settings!$B$6)))</f>
        <v/>
      </c>
      <c r="R87" s="18">
        <f>IF(OR($B87="",$G87=""),"",$G87*$Q87)</f>
        <v/>
      </c>
      <c r="S87" s="18">
        <f>IF(OR($B87="",$H87=""),"",$H87*Settings!$B$4)</f>
        <v/>
      </c>
      <c r="T87" s="18">
        <f>IF(OR($B87="",$H87="",$H87=0,$G87=""),"",$R87/$H87)</f>
        <v/>
      </c>
      <c r="U87" s="11">
        <f>IF($B87="","",IF($T87="","Add value and hours",IF($T87&gt;=Settings!$B$4*Settings!$B$8,"Worth it",IF($T87&gt;=Settings!$B$4,"Thin","Skip?"))))</f>
        <v/>
      </c>
    </row>
    <row r="88">
      <c r="A88" s="10" t="n"/>
      <c r="B88" s="10" t="n"/>
      <c r="C88" s="10" t="n"/>
      <c r="D88" s="10" t="n"/>
      <c r="E88" s="19" t="n"/>
      <c r="F88" s="19" t="n"/>
      <c r="G88" s="8" t="n"/>
      <c r="H88" s="10" t="n"/>
      <c r="I88" s="10" t="n"/>
      <c r="J88" s="19" t="n"/>
      <c r="K88" s="19" t="n"/>
      <c r="L88" s="10" t="n"/>
      <c r="M88" s="10" t="n"/>
      <c r="N88" s="7">
        <f>IF(OR($F88="",$B88=""),"",$F88-TODAY())</f>
        <v/>
      </c>
      <c r="O88" s="7">
        <f>IF($B88="","",IF(OR($I88="Won",$I88="Lost",$I88="No bid",$I88="Submitted"),"",IF($F88="","No due date",IF($F88&lt;TODAY(),"OVERDUE",IF($F88-TODAY()&lt;=Settings!$B$10,"Due soon","")))))</f>
        <v/>
      </c>
      <c r="P88" s="7">
        <f>IF($B88="","",IF(AND($I88="Submitted",$J88&lt;&gt;"",TODAY()-$J88&gt;Settings!$B$9),"Follow up",""))</f>
        <v/>
      </c>
      <c r="Q88" s="17">
        <f>IF($B88="","",IF((COUNTIFS($D$2:$D$200,$D88,$I$2:$I$200,"Won")+COUNTIFS($D$2:$D$200,$D88,$I$2:$I$200,"Lost"))&gt;=Settings!$B$7,COUNTIFS($D$2:$D$200,$D88,$I$2:$I$200,"Won")/(COUNTIFS($D$2:$D$200,$D88,$I$2:$I$200,"Won")+COUNTIFS($D$2:$D$200,$D88,$I$2:$I$200,"Lost")),IF((COUNTIF($I$2:$I$200,"Won")+COUNTIF($I$2:$I$200,"Lost"))&gt;0,COUNTIF($I$2:$I$200,"Won")/(COUNTIF($I$2:$I$200,"Won")+COUNTIF($I$2:$I$200,"Lost")),Settings!$B$6)))</f>
        <v/>
      </c>
      <c r="R88" s="18">
        <f>IF(OR($B88="",$G88=""),"",$G88*$Q88)</f>
        <v/>
      </c>
      <c r="S88" s="18">
        <f>IF(OR($B88="",$H88=""),"",$H88*Settings!$B$4)</f>
        <v/>
      </c>
      <c r="T88" s="18">
        <f>IF(OR($B88="",$H88="",$H88=0,$G88=""),"",$R88/$H88)</f>
        <v/>
      </c>
      <c r="U88" s="11">
        <f>IF($B88="","",IF($T88="","Add value and hours",IF($T88&gt;=Settings!$B$4*Settings!$B$8,"Worth it",IF($T88&gt;=Settings!$B$4,"Thin","Skip?"))))</f>
        <v/>
      </c>
    </row>
    <row r="89">
      <c r="A89" s="10" t="n"/>
      <c r="B89" s="10" t="n"/>
      <c r="C89" s="10" t="n"/>
      <c r="D89" s="10" t="n"/>
      <c r="E89" s="19" t="n"/>
      <c r="F89" s="19" t="n"/>
      <c r="G89" s="8" t="n"/>
      <c r="H89" s="10" t="n"/>
      <c r="I89" s="10" t="n"/>
      <c r="J89" s="19" t="n"/>
      <c r="K89" s="19" t="n"/>
      <c r="L89" s="10" t="n"/>
      <c r="M89" s="10" t="n"/>
      <c r="N89" s="7">
        <f>IF(OR($F89="",$B89=""),"",$F89-TODAY())</f>
        <v/>
      </c>
      <c r="O89" s="7">
        <f>IF($B89="","",IF(OR($I89="Won",$I89="Lost",$I89="No bid",$I89="Submitted"),"",IF($F89="","No due date",IF($F89&lt;TODAY(),"OVERDUE",IF($F89-TODAY()&lt;=Settings!$B$10,"Due soon","")))))</f>
        <v/>
      </c>
      <c r="P89" s="7">
        <f>IF($B89="","",IF(AND($I89="Submitted",$J89&lt;&gt;"",TODAY()-$J89&gt;Settings!$B$9),"Follow up",""))</f>
        <v/>
      </c>
      <c r="Q89" s="17">
        <f>IF($B89="","",IF((COUNTIFS($D$2:$D$200,$D89,$I$2:$I$200,"Won")+COUNTIFS($D$2:$D$200,$D89,$I$2:$I$200,"Lost"))&gt;=Settings!$B$7,COUNTIFS($D$2:$D$200,$D89,$I$2:$I$200,"Won")/(COUNTIFS($D$2:$D$200,$D89,$I$2:$I$200,"Won")+COUNTIFS($D$2:$D$200,$D89,$I$2:$I$200,"Lost")),IF((COUNTIF($I$2:$I$200,"Won")+COUNTIF($I$2:$I$200,"Lost"))&gt;0,COUNTIF($I$2:$I$200,"Won")/(COUNTIF($I$2:$I$200,"Won")+COUNTIF($I$2:$I$200,"Lost")),Settings!$B$6)))</f>
        <v/>
      </c>
      <c r="R89" s="18">
        <f>IF(OR($B89="",$G89=""),"",$G89*$Q89)</f>
        <v/>
      </c>
      <c r="S89" s="18">
        <f>IF(OR($B89="",$H89=""),"",$H89*Settings!$B$4)</f>
        <v/>
      </c>
      <c r="T89" s="18">
        <f>IF(OR($B89="",$H89="",$H89=0,$G89=""),"",$R89/$H89)</f>
        <v/>
      </c>
      <c r="U89" s="11">
        <f>IF($B89="","",IF($T89="","Add value and hours",IF($T89&gt;=Settings!$B$4*Settings!$B$8,"Worth it",IF($T89&gt;=Settings!$B$4,"Thin","Skip?"))))</f>
        <v/>
      </c>
    </row>
    <row r="90">
      <c r="A90" s="10" t="n"/>
      <c r="B90" s="10" t="n"/>
      <c r="C90" s="10" t="n"/>
      <c r="D90" s="10" t="n"/>
      <c r="E90" s="19" t="n"/>
      <c r="F90" s="19" t="n"/>
      <c r="G90" s="8" t="n"/>
      <c r="H90" s="10" t="n"/>
      <c r="I90" s="10" t="n"/>
      <c r="J90" s="19" t="n"/>
      <c r="K90" s="19" t="n"/>
      <c r="L90" s="10" t="n"/>
      <c r="M90" s="10" t="n"/>
      <c r="N90" s="7">
        <f>IF(OR($F90="",$B90=""),"",$F90-TODAY())</f>
        <v/>
      </c>
      <c r="O90" s="7">
        <f>IF($B90="","",IF(OR($I90="Won",$I90="Lost",$I90="No bid",$I90="Submitted"),"",IF($F90="","No due date",IF($F90&lt;TODAY(),"OVERDUE",IF($F90-TODAY()&lt;=Settings!$B$10,"Due soon","")))))</f>
        <v/>
      </c>
      <c r="P90" s="7">
        <f>IF($B90="","",IF(AND($I90="Submitted",$J90&lt;&gt;"",TODAY()-$J90&gt;Settings!$B$9),"Follow up",""))</f>
        <v/>
      </c>
      <c r="Q90" s="17">
        <f>IF($B90="","",IF((COUNTIFS($D$2:$D$200,$D90,$I$2:$I$200,"Won")+COUNTIFS($D$2:$D$200,$D90,$I$2:$I$200,"Lost"))&gt;=Settings!$B$7,COUNTIFS($D$2:$D$200,$D90,$I$2:$I$200,"Won")/(COUNTIFS($D$2:$D$200,$D90,$I$2:$I$200,"Won")+COUNTIFS($D$2:$D$200,$D90,$I$2:$I$200,"Lost")),IF((COUNTIF($I$2:$I$200,"Won")+COUNTIF($I$2:$I$200,"Lost"))&gt;0,COUNTIF($I$2:$I$200,"Won")/(COUNTIF($I$2:$I$200,"Won")+COUNTIF($I$2:$I$200,"Lost")),Settings!$B$6)))</f>
        <v/>
      </c>
      <c r="R90" s="18">
        <f>IF(OR($B90="",$G90=""),"",$G90*$Q90)</f>
        <v/>
      </c>
      <c r="S90" s="18">
        <f>IF(OR($B90="",$H90=""),"",$H90*Settings!$B$4)</f>
        <v/>
      </c>
      <c r="T90" s="18">
        <f>IF(OR($B90="",$H90="",$H90=0,$G90=""),"",$R90/$H90)</f>
        <v/>
      </c>
      <c r="U90" s="11">
        <f>IF($B90="","",IF($T90="","Add value and hours",IF($T90&gt;=Settings!$B$4*Settings!$B$8,"Worth it",IF($T90&gt;=Settings!$B$4,"Thin","Skip?"))))</f>
        <v/>
      </c>
    </row>
    <row r="91">
      <c r="A91" s="10" t="n"/>
      <c r="B91" s="10" t="n"/>
      <c r="C91" s="10" t="n"/>
      <c r="D91" s="10" t="n"/>
      <c r="E91" s="19" t="n"/>
      <c r="F91" s="19" t="n"/>
      <c r="G91" s="8" t="n"/>
      <c r="H91" s="10" t="n"/>
      <c r="I91" s="10" t="n"/>
      <c r="J91" s="19" t="n"/>
      <c r="K91" s="19" t="n"/>
      <c r="L91" s="10" t="n"/>
      <c r="M91" s="10" t="n"/>
      <c r="N91" s="7">
        <f>IF(OR($F91="",$B91=""),"",$F91-TODAY())</f>
        <v/>
      </c>
      <c r="O91" s="7">
        <f>IF($B91="","",IF(OR($I91="Won",$I91="Lost",$I91="No bid",$I91="Submitted"),"",IF($F91="","No due date",IF($F91&lt;TODAY(),"OVERDUE",IF($F91-TODAY()&lt;=Settings!$B$10,"Due soon","")))))</f>
        <v/>
      </c>
      <c r="P91" s="7">
        <f>IF($B91="","",IF(AND($I91="Submitted",$J91&lt;&gt;"",TODAY()-$J91&gt;Settings!$B$9),"Follow up",""))</f>
        <v/>
      </c>
      <c r="Q91" s="17">
        <f>IF($B91="","",IF((COUNTIFS($D$2:$D$200,$D91,$I$2:$I$200,"Won")+COUNTIFS($D$2:$D$200,$D91,$I$2:$I$200,"Lost"))&gt;=Settings!$B$7,COUNTIFS($D$2:$D$200,$D91,$I$2:$I$200,"Won")/(COUNTIFS($D$2:$D$200,$D91,$I$2:$I$200,"Won")+COUNTIFS($D$2:$D$200,$D91,$I$2:$I$200,"Lost")),IF((COUNTIF($I$2:$I$200,"Won")+COUNTIF($I$2:$I$200,"Lost"))&gt;0,COUNTIF($I$2:$I$200,"Won")/(COUNTIF($I$2:$I$200,"Won")+COUNTIF($I$2:$I$200,"Lost")),Settings!$B$6)))</f>
        <v/>
      </c>
      <c r="R91" s="18">
        <f>IF(OR($B91="",$G91=""),"",$G91*$Q91)</f>
        <v/>
      </c>
      <c r="S91" s="18">
        <f>IF(OR($B91="",$H91=""),"",$H91*Settings!$B$4)</f>
        <v/>
      </c>
      <c r="T91" s="18">
        <f>IF(OR($B91="",$H91="",$H91=0,$G91=""),"",$R91/$H91)</f>
        <v/>
      </c>
      <c r="U91" s="11">
        <f>IF($B91="","",IF($T91="","Add value and hours",IF($T91&gt;=Settings!$B$4*Settings!$B$8,"Worth it",IF($T91&gt;=Settings!$B$4,"Thin","Skip?"))))</f>
        <v/>
      </c>
    </row>
    <row r="92">
      <c r="A92" s="10" t="n"/>
      <c r="B92" s="10" t="n"/>
      <c r="C92" s="10" t="n"/>
      <c r="D92" s="10" t="n"/>
      <c r="E92" s="19" t="n"/>
      <c r="F92" s="19" t="n"/>
      <c r="G92" s="8" t="n"/>
      <c r="H92" s="10" t="n"/>
      <c r="I92" s="10" t="n"/>
      <c r="J92" s="19" t="n"/>
      <c r="K92" s="19" t="n"/>
      <c r="L92" s="10" t="n"/>
      <c r="M92" s="10" t="n"/>
      <c r="N92" s="7">
        <f>IF(OR($F92="",$B92=""),"",$F92-TODAY())</f>
        <v/>
      </c>
      <c r="O92" s="7">
        <f>IF($B92="","",IF(OR($I92="Won",$I92="Lost",$I92="No bid",$I92="Submitted"),"",IF($F92="","No due date",IF($F92&lt;TODAY(),"OVERDUE",IF($F92-TODAY()&lt;=Settings!$B$10,"Due soon","")))))</f>
        <v/>
      </c>
      <c r="P92" s="7">
        <f>IF($B92="","",IF(AND($I92="Submitted",$J92&lt;&gt;"",TODAY()-$J92&gt;Settings!$B$9),"Follow up",""))</f>
        <v/>
      </c>
      <c r="Q92" s="17">
        <f>IF($B92="","",IF((COUNTIFS($D$2:$D$200,$D92,$I$2:$I$200,"Won")+COUNTIFS($D$2:$D$200,$D92,$I$2:$I$200,"Lost"))&gt;=Settings!$B$7,COUNTIFS($D$2:$D$200,$D92,$I$2:$I$200,"Won")/(COUNTIFS($D$2:$D$200,$D92,$I$2:$I$200,"Won")+COUNTIFS($D$2:$D$200,$D92,$I$2:$I$200,"Lost")),IF((COUNTIF($I$2:$I$200,"Won")+COUNTIF($I$2:$I$200,"Lost"))&gt;0,COUNTIF($I$2:$I$200,"Won")/(COUNTIF($I$2:$I$200,"Won")+COUNTIF($I$2:$I$200,"Lost")),Settings!$B$6)))</f>
        <v/>
      </c>
      <c r="R92" s="18">
        <f>IF(OR($B92="",$G92=""),"",$G92*$Q92)</f>
        <v/>
      </c>
      <c r="S92" s="18">
        <f>IF(OR($B92="",$H92=""),"",$H92*Settings!$B$4)</f>
        <v/>
      </c>
      <c r="T92" s="18">
        <f>IF(OR($B92="",$H92="",$H92=0,$G92=""),"",$R92/$H92)</f>
        <v/>
      </c>
      <c r="U92" s="11">
        <f>IF($B92="","",IF($T92="","Add value and hours",IF($T92&gt;=Settings!$B$4*Settings!$B$8,"Worth it",IF($T92&gt;=Settings!$B$4,"Thin","Skip?"))))</f>
        <v/>
      </c>
    </row>
    <row r="93">
      <c r="A93" s="10" t="n"/>
      <c r="B93" s="10" t="n"/>
      <c r="C93" s="10" t="n"/>
      <c r="D93" s="10" t="n"/>
      <c r="E93" s="19" t="n"/>
      <c r="F93" s="19" t="n"/>
      <c r="G93" s="8" t="n"/>
      <c r="H93" s="10" t="n"/>
      <c r="I93" s="10" t="n"/>
      <c r="J93" s="19" t="n"/>
      <c r="K93" s="19" t="n"/>
      <c r="L93" s="10" t="n"/>
      <c r="M93" s="10" t="n"/>
      <c r="N93" s="7">
        <f>IF(OR($F93="",$B93=""),"",$F93-TODAY())</f>
        <v/>
      </c>
      <c r="O93" s="7">
        <f>IF($B93="","",IF(OR($I93="Won",$I93="Lost",$I93="No bid",$I93="Submitted"),"",IF($F93="","No due date",IF($F93&lt;TODAY(),"OVERDUE",IF($F93-TODAY()&lt;=Settings!$B$10,"Due soon","")))))</f>
        <v/>
      </c>
      <c r="P93" s="7">
        <f>IF($B93="","",IF(AND($I93="Submitted",$J93&lt;&gt;"",TODAY()-$J93&gt;Settings!$B$9),"Follow up",""))</f>
        <v/>
      </c>
      <c r="Q93" s="17">
        <f>IF($B93="","",IF((COUNTIFS($D$2:$D$200,$D93,$I$2:$I$200,"Won")+COUNTIFS($D$2:$D$200,$D93,$I$2:$I$200,"Lost"))&gt;=Settings!$B$7,COUNTIFS($D$2:$D$200,$D93,$I$2:$I$200,"Won")/(COUNTIFS($D$2:$D$200,$D93,$I$2:$I$200,"Won")+COUNTIFS($D$2:$D$200,$D93,$I$2:$I$200,"Lost")),IF((COUNTIF($I$2:$I$200,"Won")+COUNTIF($I$2:$I$200,"Lost"))&gt;0,COUNTIF($I$2:$I$200,"Won")/(COUNTIF($I$2:$I$200,"Won")+COUNTIF($I$2:$I$200,"Lost")),Settings!$B$6)))</f>
        <v/>
      </c>
      <c r="R93" s="18">
        <f>IF(OR($B93="",$G93=""),"",$G93*$Q93)</f>
        <v/>
      </c>
      <c r="S93" s="18">
        <f>IF(OR($B93="",$H93=""),"",$H93*Settings!$B$4)</f>
        <v/>
      </c>
      <c r="T93" s="18">
        <f>IF(OR($B93="",$H93="",$H93=0,$G93=""),"",$R93/$H93)</f>
        <v/>
      </c>
      <c r="U93" s="11">
        <f>IF($B93="","",IF($T93="","Add value and hours",IF($T93&gt;=Settings!$B$4*Settings!$B$8,"Worth it",IF($T93&gt;=Settings!$B$4,"Thin","Skip?"))))</f>
        <v/>
      </c>
    </row>
    <row r="94">
      <c r="A94" s="10" t="n"/>
      <c r="B94" s="10" t="n"/>
      <c r="C94" s="10" t="n"/>
      <c r="D94" s="10" t="n"/>
      <c r="E94" s="19" t="n"/>
      <c r="F94" s="19" t="n"/>
      <c r="G94" s="8" t="n"/>
      <c r="H94" s="10" t="n"/>
      <c r="I94" s="10" t="n"/>
      <c r="J94" s="19" t="n"/>
      <c r="K94" s="19" t="n"/>
      <c r="L94" s="10" t="n"/>
      <c r="M94" s="10" t="n"/>
      <c r="N94" s="7">
        <f>IF(OR($F94="",$B94=""),"",$F94-TODAY())</f>
        <v/>
      </c>
      <c r="O94" s="7">
        <f>IF($B94="","",IF(OR($I94="Won",$I94="Lost",$I94="No bid",$I94="Submitted"),"",IF($F94="","No due date",IF($F94&lt;TODAY(),"OVERDUE",IF($F94-TODAY()&lt;=Settings!$B$10,"Due soon","")))))</f>
        <v/>
      </c>
      <c r="P94" s="7">
        <f>IF($B94="","",IF(AND($I94="Submitted",$J94&lt;&gt;"",TODAY()-$J94&gt;Settings!$B$9),"Follow up",""))</f>
        <v/>
      </c>
      <c r="Q94" s="17">
        <f>IF($B94="","",IF((COUNTIFS($D$2:$D$200,$D94,$I$2:$I$200,"Won")+COUNTIFS($D$2:$D$200,$D94,$I$2:$I$200,"Lost"))&gt;=Settings!$B$7,COUNTIFS($D$2:$D$200,$D94,$I$2:$I$200,"Won")/(COUNTIFS($D$2:$D$200,$D94,$I$2:$I$200,"Won")+COUNTIFS($D$2:$D$200,$D94,$I$2:$I$200,"Lost")),IF((COUNTIF($I$2:$I$200,"Won")+COUNTIF($I$2:$I$200,"Lost"))&gt;0,COUNTIF($I$2:$I$200,"Won")/(COUNTIF($I$2:$I$200,"Won")+COUNTIF($I$2:$I$200,"Lost")),Settings!$B$6)))</f>
        <v/>
      </c>
      <c r="R94" s="18">
        <f>IF(OR($B94="",$G94=""),"",$G94*$Q94)</f>
        <v/>
      </c>
      <c r="S94" s="18">
        <f>IF(OR($B94="",$H94=""),"",$H94*Settings!$B$4)</f>
        <v/>
      </c>
      <c r="T94" s="18">
        <f>IF(OR($B94="",$H94="",$H94=0,$G94=""),"",$R94/$H94)</f>
        <v/>
      </c>
      <c r="U94" s="11">
        <f>IF($B94="","",IF($T94="","Add value and hours",IF($T94&gt;=Settings!$B$4*Settings!$B$8,"Worth it",IF($T94&gt;=Settings!$B$4,"Thin","Skip?"))))</f>
        <v/>
      </c>
    </row>
    <row r="95">
      <c r="A95" s="10" t="n"/>
      <c r="B95" s="10" t="n"/>
      <c r="C95" s="10" t="n"/>
      <c r="D95" s="10" t="n"/>
      <c r="E95" s="19" t="n"/>
      <c r="F95" s="19" t="n"/>
      <c r="G95" s="8" t="n"/>
      <c r="H95" s="10" t="n"/>
      <c r="I95" s="10" t="n"/>
      <c r="J95" s="19" t="n"/>
      <c r="K95" s="19" t="n"/>
      <c r="L95" s="10" t="n"/>
      <c r="M95" s="10" t="n"/>
      <c r="N95" s="7">
        <f>IF(OR($F95="",$B95=""),"",$F95-TODAY())</f>
        <v/>
      </c>
      <c r="O95" s="7">
        <f>IF($B95="","",IF(OR($I95="Won",$I95="Lost",$I95="No bid",$I95="Submitted"),"",IF($F95="","No due date",IF($F95&lt;TODAY(),"OVERDUE",IF($F95-TODAY()&lt;=Settings!$B$10,"Due soon","")))))</f>
        <v/>
      </c>
      <c r="P95" s="7">
        <f>IF($B95="","",IF(AND($I95="Submitted",$J95&lt;&gt;"",TODAY()-$J95&gt;Settings!$B$9),"Follow up",""))</f>
        <v/>
      </c>
      <c r="Q95" s="17">
        <f>IF($B95="","",IF((COUNTIFS($D$2:$D$200,$D95,$I$2:$I$200,"Won")+COUNTIFS($D$2:$D$200,$D95,$I$2:$I$200,"Lost"))&gt;=Settings!$B$7,COUNTIFS($D$2:$D$200,$D95,$I$2:$I$200,"Won")/(COUNTIFS($D$2:$D$200,$D95,$I$2:$I$200,"Won")+COUNTIFS($D$2:$D$200,$D95,$I$2:$I$200,"Lost")),IF((COUNTIF($I$2:$I$200,"Won")+COUNTIF($I$2:$I$200,"Lost"))&gt;0,COUNTIF($I$2:$I$200,"Won")/(COUNTIF($I$2:$I$200,"Won")+COUNTIF($I$2:$I$200,"Lost")),Settings!$B$6)))</f>
        <v/>
      </c>
      <c r="R95" s="18">
        <f>IF(OR($B95="",$G95=""),"",$G95*$Q95)</f>
        <v/>
      </c>
      <c r="S95" s="18">
        <f>IF(OR($B95="",$H95=""),"",$H95*Settings!$B$4)</f>
        <v/>
      </c>
      <c r="T95" s="18">
        <f>IF(OR($B95="",$H95="",$H95=0,$G95=""),"",$R95/$H95)</f>
        <v/>
      </c>
      <c r="U95" s="11">
        <f>IF($B95="","",IF($T95="","Add value and hours",IF($T95&gt;=Settings!$B$4*Settings!$B$8,"Worth it",IF($T95&gt;=Settings!$B$4,"Thin","Skip?"))))</f>
        <v/>
      </c>
    </row>
    <row r="96">
      <c r="A96" s="10" t="n"/>
      <c r="B96" s="10" t="n"/>
      <c r="C96" s="10" t="n"/>
      <c r="D96" s="10" t="n"/>
      <c r="E96" s="19" t="n"/>
      <c r="F96" s="19" t="n"/>
      <c r="G96" s="8" t="n"/>
      <c r="H96" s="10" t="n"/>
      <c r="I96" s="10" t="n"/>
      <c r="J96" s="19" t="n"/>
      <c r="K96" s="19" t="n"/>
      <c r="L96" s="10" t="n"/>
      <c r="M96" s="10" t="n"/>
      <c r="N96" s="7">
        <f>IF(OR($F96="",$B96=""),"",$F96-TODAY())</f>
        <v/>
      </c>
      <c r="O96" s="7">
        <f>IF($B96="","",IF(OR($I96="Won",$I96="Lost",$I96="No bid",$I96="Submitted"),"",IF($F96="","No due date",IF($F96&lt;TODAY(),"OVERDUE",IF($F96-TODAY()&lt;=Settings!$B$10,"Due soon","")))))</f>
        <v/>
      </c>
      <c r="P96" s="7">
        <f>IF($B96="","",IF(AND($I96="Submitted",$J96&lt;&gt;"",TODAY()-$J96&gt;Settings!$B$9),"Follow up",""))</f>
        <v/>
      </c>
      <c r="Q96" s="17">
        <f>IF($B96="","",IF((COUNTIFS($D$2:$D$200,$D96,$I$2:$I$200,"Won")+COUNTIFS($D$2:$D$200,$D96,$I$2:$I$200,"Lost"))&gt;=Settings!$B$7,COUNTIFS($D$2:$D$200,$D96,$I$2:$I$200,"Won")/(COUNTIFS($D$2:$D$200,$D96,$I$2:$I$200,"Won")+COUNTIFS($D$2:$D$200,$D96,$I$2:$I$200,"Lost")),IF((COUNTIF($I$2:$I$200,"Won")+COUNTIF($I$2:$I$200,"Lost"))&gt;0,COUNTIF($I$2:$I$200,"Won")/(COUNTIF($I$2:$I$200,"Won")+COUNTIF($I$2:$I$200,"Lost")),Settings!$B$6)))</f>
        <v/>
      </c>
      <c r="R96" s="18">
        <f>IF(OR($B96="",$G96=""),"",$G96*$Q96)</f>
        <v/>
      </c>
      <c r="S96" s="18">
        <f>IF(OR($B96="",$H96=""),"",$H96*Settings!$B$4)</f>
        <v/>
      </c>
      <c r="T96" s="18">
        <f>IF(OR($B96="",$H96="",$H96=0,$G96=""),"",$R96/$H96)</f>
        <v/>
      </c>
      <c r="U96" s="11">
        <f>IF($B96="","",IF($T96="","Add value and hours",IF($T96&gt;=Settings!$B$4*Settings!$B$8,"Worth it",IF($T96&gt;=Settings!$B$4,"Thin","Skip?"))))</f>
        <v/>
      </c>
    </row>
    <row r="97">
      <c r="A97" s="10" t="n"/>
      <c r="B97" s="10" t="n"/>
      <c r="C97" s="10" t="n"/>
      <c r="D97" s="10" t="n"/>
      <c r="E97" s="19" t="n"/>
      <c r="F97" s="19" t="n"/>
      <c r="G97" s="8" t="n"/>
      <c r="H97" s="10" t="n"/>
      <c r="I97" s="10" t="n"/>
      <c r="J97" s="19" t="n"/>
      <c r="K97" s="19" t="n"/>
      <c r="L97" s="10" t="n"/>
      <c r="M97" s="10" t="n"/>
      <c r="N97" s="7">
        <f>IF(OR($F97="",$B97=""),"",$F97-TODAY())</f>
        <v/>
      </c>
      <c r="O97" s="7">
        <f>IF($B97="","",IF(OR($I97="Won",$I97="Lost",$I97="No bid",$I97="Submitted"),"",IF($F97="","No due date",IF($F97&lt;TODAY(),"OVERDUE",IF($F97-TODAY()&lt;=Settings!$B$10,"Due soon","")))))</f>
        <v/>
      </c>
      <c r="P97" s="7">
        <f>IF($B97="","",IF(AND($I97="Submitted",$J97&lt;&gt;"",TODAY()-$J97&gt;Settings!$B$9),"Follow up",""))</f>
        <v/>
      </c>
      <c r="Q97" s="17">
        <f>IF($B97="","",IF((COUNTIFS($D$2:$D$200,$D97,$I$2:$I$200,"Won")+COUNTIFS($D$2:$D$200,$D97,$I$2:$I$200,"Lost"))&gt;=Settings!$B$7,COUNTIFS($D$2:$D$200,$D97,$I$2:$I$200,"Won")/(COUNTIFS($D$2:$D$200,$D97,$I$2:$I$200,"Won")+COUNTIFS($D$2:$D$200,$D97,$I$2:$I$200,"Lost")),IF((COUNTIF($I$2:$I$200,"Won")+COUNTIF($I$2:$I$200,"Lost"))&gt;0,COUNTIF($I$2:$I$200,"Won")/(COUNTIF($I$2:$I$200,"Won")+COUNTIF($I$2:$I$200,"Lost")),Settings!$B$6)))</f>
        <v/>
      </c>
      <c r="R97" s="18">
        <f>IF(OR($B97="",$G97=""),"",$G97*$Q97)</f>
        <v/>
      </c>
      <c r="S97" s="18">
        <f>IF(OR($B97="",$H97=""),"",$H97*Settings!$B$4)</f>
        <v/>
      </c>
      <c r="T97" s="18">
        <f>IF(OR($B97="",$H97="",$H97=0,$G97=""),"",$R97/$H97)</f>
        <v/>
      </c>
      <c r="U97" s="11">
        <f>IF($B97="","",IF($T97="","Add value and hours",IF($T97&gt;=Settings!$B$4*Settings!$B$8,"Worth it",IF($T97&gt;=Settings!$B$4,"Thin","Skip?"))))</f>
        <v/>
      </c>
    </row>
    <row r="98">
      <c r="A98" s="10" t="n"/>
      <c r="B98" s="10" t="n"/>
      <c r="C98" s="10" t="n"/>
      <c r="D98" s="10" t="n"/>
      <c r="E98" s="19" t="n"/>
      <c r="F98" s="19" t="n"/>
      <c r="G98" s="8" t="n"/>
      <c r="H98" s="10" t="n"/>
      <c r="I98" s="10" t="n"/>
      <c r="J98" s="19" t="n"/>
      <c r="K98" s="19" t="n"/>
      <c r="L98" s="10" t="n"/>
      <c r="M98" s="10" t="n"/>
      <c r="N98" s="7">
        <f>IF(OR($F98="",$B98=""),"",$F98-TODAY())</f>
        <v/>
      </c>
      <c r="O98" s="7">
        <f>IF($B98="","",IF(OR($I98="Won",$I98="Lost",$I98="No bid",$I98="Submitted"),"",IF($F98="","No due date",IF($F98&lt;TODAY(),"OVERDUE",IF($F98-TODAY()&lt;=Settings!$B$10,"Due soon","")))))</f>
        <v/>
      </c>
      <c r="P98" s="7">
        <f>IF($B98="","",IF(AND($I98="Submitted",$J98&lt;&gt;"",TODAY()-$J98&gt;Settings!$B$9),"Follow up",""))</f>
        <v/>
      </c>
      <c r="Q98" s="17">
        <f>IF($B98="","",IF((COUNTIFS($D$2:$D$200,$D98,$I$2:$I$200,"Won")+COUNTIFS($D$2:$D$200,$D98,$I$2:$I$200,"Lost"))&gt;=Settings!$B$7,COUNTIFS($D$2:$D$200,$D98,$I$2:$I$200,"Won")/(COUNTIFS($D$2:$D$200,$D98,$I$2:$I$200,"Won")+COUNTIFS($D$2:$D$200,$D98,$I$2:$I$200,"Lost")),IF((COUNTIF($I$2:$I$200,"Won")+COUNTIF($I$2:$I$200,"Lost"))&gt;0,COUNTIF($I$2:$I$200,"Won")/(COUNTIF($I$2:$I$200,"Won")+COUNTIF($I$2:$I$200,"Lost")),Settings!$B$6)))</f>
        <v/>
      </c>
      <c r="R98" s="18">
        <f>IF(OR($B98="",$G98=""),"",$G98*$Q98)</f>
        <v/>
      </c>
      <c r="S98" s="18">
        <f>IF(OR($B98="",$H98=""),"",$H98*Settings!$B$4)</f>
        <v/>
      </c>
      <c r="T98" s="18">
        <f>IF(OR($B98="",$H98="",$H98=0,$G98=""),"",$R98/$H98)</f>
        <v/>
      </c>
      <c r="U98" s="11">
        <f>IF($B98="","",IF($T98="","Add value and hours",IF($T98&gt;=Settings!$B$4*Settings!$B$8,"Worth it",IF($T98&gt;=Settings!$B$4,"Thin","Skip?"))))</f>
        <v/>
      </c>
    </row>
    <row r="99">
      <c r="A99" s="10" t="n"/>
      <c r="B99" s="10" t="n"/>
      <c r="C99" s="10" t="n"/>
      <c r="D99" s="10" t="n"/>
      <c r="E99" s="19" t="n"/>
      <c r="F99" s="19" t="n"/>
      <c r="G99" s="8" t="n"/>
      <c r="H99" s="10" t="n"/>
      <c r="I99" s="10" t="n"/>
      <c r="J99" s="19" t="n"/>
      <c r="K99" s="19" t="n"/>
      <c r="L99" s="10" t="n"/>
      <c r="M99" s="10" t="n"/>
      <c r="N99" s="7">
        <f>IF(OR($F99="",$B99=""),"",$F99-TODAY())</f>
        <v/>
      </c>
      <c r="O99" s="7">
        <f>IF($B99="","",IF(OR($I99="Won",$I99="Lost",$I99="No bid",$I99="Submitted"),"",IF($F99="","No due date",IF($F99&lt;TODAY(),"OVERDUE",IF($F99-TODAY()&lt;=Settings!$B$10,"Due soon","")))))</f>
        <v/>
      </c>
      <c r="P99" s="7">
        <f>IF($B99="","",IF(AND($I99="Submitted",$J99&lt;&gt;"",TODAY()-$J99&gt;Settings!$B$9),"Follow up",""))</f>
        <v/>
      </c>
      <c r="Q99" s="17">
        <f>IF($B99="","",IF((COUNTIFS($D$2:$D$200,$D99,$I$2:$I$200,"Won")+COUNTIFS($D$2:$D$200,$D99,$I$2:$I$200,"Lost"))&gt;=Settings!$B$7,COUNTIFS($D$2:$D$200,$D99,$I$2:$I$200,"Won")/(COUNTIFS($D$2:$D$200,$D99,$I$2:$I$200,"Won")+COUNTIFS($D$2:$D$200,$D99,$I$2:$I$200,"Lost")),IF((COUNTIF($I$2:$I$200,"Won")+COUNTIF($I$2:$I$200,"Lost"))&gt;0,COUNTIF($I$2:$I$200,"Won")/(COUNTIF($I$2:$I$200,"Won")+COUNTIF($I$2:$I$200,"Lost")),Settings!$B$6)))</f>
        <v/>
      </c>
      <c r="R99" s="18">
        <f>IF(OR($B99="",$G99=""),"",$G99*$Q99)</f>
        <v/>
      </c>
      <c r="S99" s="18">
        <f>IF(OR($B99="",$H99=""),"",$H99*Settings!$B$4)</f>
        <v/>
      </c>
      <c r="T99" s="18">
        <f>IF(OR($B99="",$H99="",$H99=0,$G99=""),"",$R99/$H99)</f>
        <v/>
      </c>
      <c r="U99" s="11">
        <f>IF($B99="","",IF($T99="","Add value and hours",IF($T99&gt;=Settings!$B$4*Settings!$B$8,"Worth it",IF($T99&gt;=Settings!$B$4,"Thin","Skip?"))))</f>
        <v/>
      </c>
    </row>
    <row r="100">
      <c r="A100" s="10" t="n"/>
      <c r="B100" s="10" t="n"/>
      <c r="C100" s="10" t="n"/>
      <c r="D100" s="10" t="n"/>
      <c r="E100" s="19" t="n"/>
      <c r="F100" s="19" t="n"/>
      <c r="G100" s="8" t="n"/>
      <c r="H100" s="10" t="n"/>
      <c r="I100" s="10" t="n"/>
      <c r="J100" s="19" t="n"/>
      <c r="K100" s="19" t="n"/>
      <c r="L100" s="10" t="n"/>
      <c r="M100" s="10" t="n"/>
      <c r="N100" s="7">
        <f>IF(OR($F100="",$B100=""),"",$F100-TODAY())</f>
        <v/>
      </c>
      <c r="O100" s="7">
        <f>IF($B100="","",IF(OR($I100="Won",$I100="Lost",$I100="No bid",$I100="Submitted"),"",IF($F100="","No due date",IF($F100&lt;TODAY(),"OVERDUE",IF($F100-TODAY()&lt;=Settings!$B$10,"Due soon","")))))</f>
        <v/>
      </c>
      <c r="P100" s="7">
        <f>IF($B100="","",IF(AND($I100="Submitted",$J100&lt;&gt;"",TODAY()-$J100&gt;Settings!$B$9),"Follow up",""))</f>
        <v/>
      </c>
      <c r="Q100" s="17">
        <f>IF($B100="","",IF((COUNTIFS($D$2:$D$200,$D100,$I$2:$I$200,"Won")+COUNTIFS($D$2:$D$200,$D100,$I$2:$I$200,"Lost"))&gt;=Settings!$B$7,COUNTIFS($D$2:$D$200,$D100,$I$2:$I$200,"Won")/(COUNTIFS($D$2:$D$200,$D100,$I$2:$I$200,"Won")+COUNTIFS($D$2:$D$200,$D100,$I$2:$I$200,"Lost")),IF((COUNTIF($I$2:$I$200,"Won")+COUNTIF($I$2:$I$200,"Lost"))&gt;0,COUNTIF($I$2:$I$200,"Won")/(COUNTIF($I$2:$I$200,"Won")+COUNTIF($I$2:$I$200,"Lost")),Settings!$B$6)))</f>
        <v/>
      </c>
      <c r="R100" s="18">
        <f>IF(OR($B100="",$G100=""),"",$G100*$Q100)</f>
        <v/>
      </c>
      <c r="S100" s="18">
        <f>IF(OR($B100="",$H100=""),"",$H100*Settings!$B$4)</f>
        <v/>
      </c>
      <c r="T100" s="18">
        <f>IF(OR($B100="",$H100="",$H100=0,$G100=""),"",$R100/$H100)</f>
        <v/>
      </c>
      <c r="U100" s="11">
        <f>IF($B100="","",IF($T100="","Add value and hours",IF($T100&gt;=Settings!$B$4*Settings!$B$8,"Worth it",IF($T100&gt;=Settings!$B$4,"Thin","Skip?"))))</f>
        <v/>
      </c>
    </row>
    <row r="101">
      <c r="A101" s="10" t="n"/>
      <c r="B101" s="10" t="n"/>
      <c r="C101" s="10" t="n"/>
      <c r="D101" s="10" t="n"/>
      <c r="E101" s="19" t="n"/>
      <c r="F101" s="19" t="n"/>
      <c r="G101" s="8" t="n"/>
      <c r="H101" s="10" t="n"/>
      <c r="I101" s="10" t="n"/>
      <c r="J101" s="19" t="n"/>
      <c r="K101" s="19" t="n"/>
      <c r="L101" s="10" t="n"/>
      <c r="M101" s="10" t="n"/>
      <c r="N101" s="7">
        <f>IF(OR($F101="",$B101=""),"",$F101-TODAY())</f>
        <v/>
      </c>
      <c r="O101" s="7">
        <f>IF($B101="","",IF(OR($I101="Won",$I101="Lost",$I101="No bid",$I101="Submitted"),"",IF($F101="","No due date",IF($F101&lt;TODAY(),"OVERDUE",IF($F101-TODAY()&lt;=Settings!$B$10,"Due soon","")))))</f>
        <v/>
      </c>
      <c r="P101" s="7">
        <f>IF($B101="","",IF(AND($I101="Submitted",$J101&lt;&gt;"",TODAY()-$J101&gt;Settings!$B$9),"Follow up",""))</f>
        <v/>
      </c>
      <c r="Q101" s="17">
        <f>IF($B101="","",IF((COUNTIFS($D$2:$D$200,$D101,$I$2:$I$200,"Won")+COUNTIFS($D$2:$D$200,$D101,$I$2:$I$200,"Lost"))&gt;=Settings!$B$7,COUNTIFS($D$2:$D$200,$D101,$I$2:$I$200,"Won")/(COUNTIFS($D$2:$D$200,$D101,$I$2:$I$200,"Won")+COUNTIFS($D$2:$D$200,$D101,$I$2:$I$200,"Lost")),IF((COUNTIF($I$2:$I$200,"Won")+COUNTIF($I$2:$I$200,"Lost"))&gt;0,COUNTIF($I$2:$I$200,"Won")/(COUNTIF($I$2:$I$200,"Won")+COUNTIF($I$2:$I$200,"Lost")),Settings!$B$6)))</f>
        <v/>
      </c>
      <c r="R101" s="18">
        <f>IF(OR($B101="",$G101=""),"",$G101*$Q101)</f>
        <v/>
      </c>
      <c r="S101" s="18">
        <f>IF(OR($B101="",$H101=""),"",$H101*Settings!$B$4)</f>
        <v/>
      </c>
      <c r="T101" s="18">
        <f>IF(OR($B101="",$H101="",$H101=0,$G101=""),"",$R101/$H101)</f>
        <v/>
      </c>
      <c r="U101" s="11">
        <f>IF($B101="","",IF($T101="","Add value and hours",IF($T101&gt;=Settings!$B$4*Settings!$B$8,"Worth it",IF($T101&gt;=Settings!$B$4,"Thin","Skip?"))))</f>
        <v/>
      </c>
    </row>
    <row r="102">
      <c r="A102" s="10" t="n"/>
      <c r="B102" s="10" t="n"/>
      <c r="C102" s="10" t="n"/>
      <c r="D102" s="10" t="n"/>
      <c r="E102" s="19" t="n"/>
      <c r="F102" s="19" t="n"/>
      <c r="G102" s="8" t="n"/>
      <c r="H102" s="10" t="n"/>
      <c r="I102" s="10" t="n"/>
      <c r="J102" s="19" t="n"/>
      <c r="K102" s="19" t="n"/>
      <c r="L102" s="10" t="n"/>
      <c r="M102" s="10" t="n"/>
      <c r="N102" s="7">
        <f>IF(OR($F102="",$B102=""),"",$F102-TODAY())</f>
        <v/>
      </c>
      <c r="O102" s="7">
        <f>IF($B102="","",IF(OR($I102="Won",$I102="Lost",$I102="No bid",$I102="Submitted"),"",IF($F102="","No due date",IF($F102&lt;TODAY(),"OVERDUE",IF($F102-TODAY()&lt;=Settings!$B$10,"Due soon","")))))</f>
        <v/>
      </c>
      <c r="P102" s="7">
        <f>IF($B102="","",IF(AND($I102="Submitted",$J102&lt;&gt;"",TODAY()-$J102&gt;Settings!$B$9),"Follow up",""))</f>
        <v/>
      </c>
      <c r="Q102" s="17">
        <f>IF($B102="","",IF((COUNTIFS($D$2:$D$200,$D102,$I$2:$I$200,"Won")+COUNTIFS($D$2:$D$200,$D102,$I$2:$I$200,"Lost"))&gt;=Settings!$B$7,COUNTIFS($D$2:$D$200,$D102,$I$2:$I$200,"Won")/(COUNTIFS($D$2:$D$200,$D102,$I$2:$I$200,"Won")+COUNTIFS($D$2:$D$200,$D102,$I$2:$I$200,"Lost")),IF((COUNTIF($I$2:$I$200,"Won")+COUNTIF($I$2:$I$200,"Lost"))&gt;0,COUNTIF($I$2:$I$200,"Won")/(COUNTIF($I$2:$I$200,"Won")+COUNTIF($I$2:$I$200,"Lost")),Settings!$B$6)))</f>
        <v/>
      </c>
      <c r="R102" s="18">
        <f>IF(OR($B102="",$G102=""),"",$G102*$Q102)</f>
        <v/>
      </c>
      <c r="S102" s="18">
        <f>IF(OR($B102="",$H102=""),"",$H102*Settings!$B$4)</f>
        <v/>
      </c>
      <c r="T102" s="18">
        <f>IF(OR($B102="",$H102="",$H102=0,$G102=""),"",$R102/$H102)</f>
        <v/>
      </c>
      <c r="U102" s="11">
        <f>IF($B102="","",IF($T102="","Add value and hours",IF($T102&gt;=Settings!$B$4*Settings!$B$8,"Worth it",IF($T102&gt;=Settings!$B$4,"Thin","Skip?"))))</f>
        <v/>
      </c>
    </row>
    <row r="103">
      <c r="A103" s="10" t="n"/>
      <c r="B103" s="10" t="n"/>
      <c r="C103" s="10" t="n"/>
      <c r="D103" s="10" t="n"/>
      <c r="E103" s="19" t="n"/>
      <c r="F103" s="19" t="n"/>
      <c r="G103" s="8" t="n"/>
      <c r="H103" s="10" t="n"/>
      <c r="I103" s="10" t="n"/>
      <c r="J103" s="19" t="n"/>
      <c r="K103" s="19" t="n"/>
      <c r="L103" s="10" t="n"/>
      <c r="M103" s="10" t="n"/>
      <c r="N103" s="7">
        <f>IF(OR($F103="",$B103=""),"",$F103-TODAY())</f>
        <v/>
      </c>
      <c r="O103" s="7">
        <f>IF($B103="","",IF(OR($I103="Won",$I103="Lost",$I103="No bid",$I103="Submitted"),"",IF($F103="","No due date",IF($F103&lt;TODAY(),"OVERDUE",IF($F103-TODAY()&lt;=Settings!$B$10,"Due soon","")))))</f>
        <v/>
      </c>
      <c r="P103" s="7">
        <f>IF($B103="","",IF(AND($I103="Submitted",$J103&lt;&gt;"",TODAY()-$J103&gt;Settings!$B$9),"Follow up",""))</f>
        <v/>
      </c>
      <c r="Q103" s="17">
        <f>IF($B103="","",IF((COUNTIFS($D$2:$D$200,$D103,$I$2:$I$200,"Won")+COUNTIFS($D$2:$D$200,$D103,$I$2:$I$200,"Lost"))&gt;=Settings!$B$7,COUNTIFS($D$2:$D$200,$D103,$I$2:$I$200,"Won")/(COUNTIFS($D$2:$D$200,$D103,$I$2:$I$200,"Won")+COUNTIFS($D$2:$D$200,$D103,$I$2:$I$200,"Lost")),IF((COUNTIF($I$2:$I$200,"Won")+COUNTIF($I$2:$I$200,"Lost"))&gt;0,COUNTIF($I$2:$I$200,"Won")/(COUNTIF($I$2:$I$200,"Won")+COUNTIF($I$2:$I$200,"Lost")),Settings!$B$6)))</f>
        <v/>
      </c>
      <c r="R103" s="18">
        <f>IF(OR($B103="",$G103=""),"",$G103*$Q103)</f>
        <v/>
      </c>
      <c r="S103" s="18">
        <f>IF(OR($B103="",$H103=""),"",$H103*Settings!$B$4)</f>
        <v/>
      </c>
      <c r="T103" s="18">
        <f>IF(OR($B103="",$H103="",$H103=0,$G103=""),"",$R103/$H103)</f>
        <v/>
      </c>
      <c r="U103" s="11">
        <f>IF($B103="","",IF($T103="","Add value and hours",IF($T103&gt;=Settings!$B$4*Settings!$B$8,"Worth it",IF($T103&gt;=Settings!$B$4,"Thin","Skip?"))))</f>
        <v/>
      </c>
    </row>
    <row r="104">
      <c r="A104" s="10" t="n"/>
      <c r="B104" s="10" t="n"/>
      <c r="C104" s="10" t="n"/>
      <c r="D104" s="10" t="n"/>
      <c r="E104" s="19" t="n"/>
      <c r="F104" s="19" t="n"/>
      <c r="G104" s="8" t="n"/>
      <c r="H104" s="10" t="n"/>
      <c r="I104" s="10" t="n"/>
      <c r="J104" s="19" t="n"/>
      <c r="K104" s="19" t="n"/>
      <c r="L104" s="10" t="n"/>
      <c r="M104" s="10" t="n"/>
      <c r="N104" s="7">
        <f>IF(OR($F104="",$B104=""),"",$F104-TODAY())</f>
        <v/>
      </c>
      <c r="O104" s="7">
        <f>IF($B104="","",IF(OR($I104="Won",$I104="Lost",$I104="No bid",$I104="Submitted"),"",IF($F104="","No due date",IF($F104&lt;TODAY(),"OVERDUE",IF($F104-TODAY()&lt;=Settings!$B$10,"Due soon","")))))</f>
        <v/>
      </c>
      <c r="P104" s="7">
        <f>IF($B104="","",IF(AND($I104="Submitted",$J104&lt;&gt;"",TODAY()-$J104&gt;Settings!$B$9),"Follow up",""))</f>
        <v/>
      </c>
      <c r="Q104" s="17">
        <f>IF($B104="","",IF((COUNTIFS($D$2:$D$200,$D104,$I$2:$I$200,"Won")+COUNTIFS($D$2:$D$200,$D104,$I$2:$I$200,"Lost"))&gt;=Settings!$B$7,COUNTIFS($D$2:$D$200,$D104,$I$2:$I$200,"Won")/(COUNTIFS($D$2:$D$200,$D104,$I$2:$I$200,"Won")+COUNTIFS($D$2:$D$200,$D104,$I$2:$I$200,"Lost")),IF((COUNTIF($I$2:$I$200,"Won")+COUNTIF($I$2:$I$200,"Lost"))&gt;0,COUNTIF($I$2:$I$200,"Won")/(COUNTIF($I$2:$I$200,"Won")+COUNTIF($I$2:$I$200,"Lost")),Settings!$B$6)))</f>
        <v/>
      </c>
      <c r="R104" s="18">
        <f>IF(OR($B104="",$G104=""),"",$G104*$Q104)</f>
        <v/>
      </c>
      <c r="S104" s="18">
        <f>IF(OR($B104="",$H104=""),"",$H104*Settings!$B$4)</f>
        <v/>
      </c>
      <c r="T104" s="18">
        <f>IF(OR($B104="",$H104="",$H104=0,$G104=""),"",$R104/$H104)</f>
        <v/>
      </c>
      <c r="U104" s="11">
        <f>IF($B104="","",IF($T104="","Add value and hours",IF($T104&gt;=Settings!$B$4*Settings!$B$8,"Worth it",IF($T104&gt;=Settings!$B$4,"Thin","Skip?"))))</f>
        <v/>
      </c>
    </row>
    <row r="105">
      <c r="A105" s="10" t="n"/>
      <c r="B105" s="10" t="n"/>
      <c r="C105" s="10" t="n"/>
      <c r="D105" s="10" t="n"/>
      <c r="E105" s="19" t="n"/>
      <c r="F105" s="19" t="n"/>
      <c r="G105" s="8" t="n"/>
      <c r="H105" s="10" t="n"/>
      <c r="I105" s="10" t="n"/>
      <c r="J105" s="19" t="n"/>
      <c r="K105" s="19" t="n"/>
      <c r="L105" s="10" t="n"/>
      <c r="M105" s="10" t="n"/>
      <c r="N105" s="7">
        <f>IF(OR($F105="",$B105=""),"",$F105-TODAY())</f>
        <v/>
      </c>
      <c r="O105" s="7">
        <f>IF($B105="","",IF(OR($I105="Won",$I105="Lost",$I105="No bid",$I105="Submitted"),"",IF($F105="","No due date",IF($F105&lt;TODAY(),"OVERDUE",IF($F105-TODAY()&lt;=Settings!$B$10,"Due soon","")))))</f>
        <v/>
      </c>
      <c r="P105" s="7">
        <f>IF($B105="","",IF(AND($I105="Submitted",$J105&lt;&gt;"",TODAY()-$J105&gt;Settings!$B$9),"Follow up",""))</f>
        <v/>
      </c>
      <c r="Q105" s="17">
        <f>IF($B105="","",IF((COUNTIFS($D$2:$D$200,$D105,$I$2:$I$200,"Won")+COUNTIFS($D$2:$D$200,$D105,$I$2:$I$200,"Lost"))&gt;=Settings!$B$7,COUNTIFS($D$2:$D$200,$D105,$I$2:$I$200,"Won")/(COUNTIFS($D$2:$D$200,$D105,$I$2:$I$200,"Won")+COUNTIFS($D$2:$D$200,$D105,$I$2:$I$200,"Lost")),IF((COUNTIF($I$2:$I$200,"Won")+COUNTIF($I$2:$I$200,"Lost"))&gt;0,COUNTIF($I$2:$I$200,"Won")/(COUNTIF($I$2:$I$200,"Won")+COUNTIF($I$2:$I$200,"Lost")),Settings!$B$6)))</f>
        <v/>
      </c>
      <c r="R105" s="18">
        <f>IF(OR($B105="",$G105=""),"",$G105*$Q105)</f>
        <v/>
      </c>
      <c r="S105" s="18">
        <f>IF(OR($B105="",$H105=""),"",$H105*Settings!$B$4)</f>
        <v/>
      </c>
      <c r="T105" s="18">
        <f>IF(OR($B105="",$H105="",$H105=0,$G105=""),"",$R105/$H105)</f>
        <v/>
      </c>
      <c r="U105" s="11">
        <f>IF($B105="","",IF($T105="","Add value and hours",IF($T105&gt;=Settings!$B$4*Settings!$B$8,"Worth it",IF($T105&gt;=Settings!$B$4,"Thin","Skip?"))))</f>
        <v/>
      </c>
    </row>
    <row r="106">
      <c r="A106" s="10" t="n"/>
      <c r="B106" s="10" t="n"/>
      <c r="C106" s="10" t="n"/>
      <c r="D106" s="10" t="n"/>
      <c r="E106" s="19" t="n"/>
      <c r="F106" s="19" t="n"/>
      <c r="G106" s="8" t="n"/>
      <c r="H106" s="10" t="n"/>
      <c r="I106" s="10" t="n"/>
      <c r="J106" s="19" t="n"/>
      <c r="K106" s="19" t="n"/>
      <c r="L106" s="10" t="n"/>
      <c r="M106" s="10" t="n"/>
      <c r="N106" s="7">
        <f>IF(OR($F106="",$B106=""),"",$F106-TODAY())</f>
        <v/>
      </c>
      <c r="O106" s="7">
        <f>IF($B106="","",IF(OR($I106="Won",$I106="Lost",$I106="No bid",$I106="Submitted"),"",IF($F106="","No due date",IF($F106&lt;TODAY(),"OVERDUE",IF($F106-TODAY()&lt;=Settings!$B$10,"Due soon","")))))</f>
        <v/>
      </c>
      <c r="P106" s="7">
        <f>IF($B106="","",IF(AND($I106="Submitted",$J106&lt;&gt;"",TODAY()-$J106&gt;Settings!$B$9),"Follow up",""))</f>
        <v/>
      </c>
      <c r="Q106" s="17">
        <f>IF($B106="","",IF((COUNTIFS($D$2:$D$200,$D106,$I$2:$I$200,"Won")+COUNTIFS($D$2:$D$200,$D106,$I$2:$I$200,"Lost"))&gt;=Settings!$B$7,COUNTIFS($D$2:$D$200,$D106,$I$2:$I$200,"Won")/(COUNTIFS($D$2:$D$200,$D106,$I$2:$I$200,"Won")+COUNTIFS($D$2:$D$200,$D106,$I$2:$I$200,"Lost")),IF((COUNTIF($I$2:$I$200,"Won")+COUNTIF($I$2:$I$200,"Lost"))&gt;0,COUNTIF($I$2:$I$200,"Won")/(COUNTIF($I$2:$I$200,"Won")+COUNTIF($I$2:$I$200,"Lost")),Settings!$B$6)))</f>
        <v/>
      </c>
      <c r="R106" s="18">
        <f>IF(OR($B106="",$G106=""),"",$G106*$Q106)</f>
        <v/>
      </c>
      <c r="S106" s="18">
        <f>IF(OR($B106="",$H106=""),"",$H106*Settings!$B$4)</f>
        <v/>
      </c>
      <c r="T106" s="18">
        <f>IF(OR($B106="",$H106="",$H106=0,$G106=""),"",$R106/$H106)</f>
        <v/>
      </c>
      <c r="U106" s="11">
        <f>IF($B106="","",IF($T106="","Add value and hours",IF($T106&gt;=Settings!$B$4*Settings!$B$8,"Worth it",IF($T106&gt;=Settings!$B$4,"Thin","Skip?"))))</f>
        <v/>
      </c>
    </row>
    <row r="107">
      <c r="A107" s="10" t="n"/>
      <c r="B107" s="10" t="n"/>
      <c r="C107" s="10" t="n"/>
      <c r="D107" s="10" t="n"/>
      <c r="E107" s="19" t="n"/>
      <c r="F107" s="19" t="n"/>
      <c r="G107" s="8" t="n"/>
      <c r="H107" s="10" t="n"/>
      <c r="I107" s="10" t="n"/>
      <c r="J107" s="19" t="n"/>
      <c r="K107" s="19" t="n"/>
      <c r="L107" s="10" t="n"/>
      <c r="M107" s="10" t="n"/>
      <c r="N107" s="7">
        <f>IF(OR($F107="",$B107=""),"",$F107-TODAY())</f>
        <v/>
      </c>
      <c r="O107" s="7">
        <f>IF($B107="","",IF(OR($I107="Won",$I107="Lost",$I107="No bid",$I107="Submitted"),"",IF($F107="","No due date",IF($F107&lt;TODAY(),"OVERDUE",IF($F107-TODAY()&lt;=Settings!$B$10,"Due soon","")))))</f>
        <v/>
      </c>
      <c r="P107" s="7">
        <f>IF($B107="","",IF(AND($I107="Submitted",$J107&lt;&gt;"",TODAY()-$J107&gt;Settings!$B$9),"Follow up",""))</f>
        <v/>
      </c>
      <c r="Q107" s="17">
        <f>IF($B107="","",IF((COUNTIFS($D$2:$D$200,$D107,$I$2:$I$200,"Won")+COUNTIFS($D$2:$D$200,$D107,$I$2:$I$200,"Lost"))&gt;=Settings!$B$7,COUNTIFS($D$2:$D$200,$D107,$I$2:$I$200,"Won")/(COUNTIFS($D$2:$D$200,$D107,$I$2:$I$200,"Won")+COUNTIFS($D$2:$D$200,$D107,$I$2:$I$200,"Lost")),IF((COUNTIF($I$2:$I$200,"Won")+COUNTIF($I$2:$I$200,"Lost"))&gt;0,COUNTIF($I$2:$I$200,"Won")/(COUNTIF($I$2:$I$200,"Won")+COUNTIF($I$2:$I$200,"Lost")),Settings!$B$6)))</f>
        <v/>
      </c>
      <c r="R107" s="18">
        <f>IF(OR($B107="",$G107=""),"",$G107*$Q107)</f>
        <v/>
      </c>
      <c r="S107" s="18">
        <f>IF(OR($B107="",$H107=""),"",$H107*Settings!$B$4)</f>
        <v/>
      </c>
      <c r="T107" s="18">
        <f>IF(OR($B107="",$H107="",$H107=0,$G107=""),"",$R107/$H107)</f>
        <v/>
      </c>
      <c r="U107" s="11">
        <f>IF($B107="","",IF($T107="","Add value and hours",IF($T107&gt;=Settings!$B$4*Settings!$B$8,"Worth it",IF($T107&gt;=Settings!$B$4,"Thin","Skip?"))))</f>
        <v/>
      </c>
    </row>
    <row r="108">
      <c r="A108" s="10" t="n"/>
      <c r="B108" s="10" t="n"/>
      <c r="C108" s="10" t="n"/>
      <c r="D108" s="10" t="n"/>
      <c r="E108" s="19" t="n"/>
      <c r="F108" s="19" t="n"/>
      <c r="G108" s="8" t="n"/>
      <c r="H108" s="10" t="n"/>
      <c r="I108" s="10" t="n"/>
      <c r="J108" s="19" t="n"/>
      <c r="K108" s="19" t="n"/>
      <c r="L108" s="10" t="n"/>
      <c r="M108" s="10" t="n"/>
      <c r="N108" s="7">
        <f>IF(OR($F108="",$B108=""),"",$F108-TODAY())</f>
        <v/>
      </c>
      <c r="O108" s="7">
        <f>IF($B108="","",IF(OR($I108="Won",$I108="Lost",$I108="No bid",$I108="Submitted"),"",IF($F108="","No due date",IF($F108&lt;TODAY(),"OVERDUE",IF($F108-TODAY()&lt;=Settings!$B$10,"Due soon","")))))</f>
        <v/>
      </c>
      <c r="P108" s="7">
        <f>IF($B108="","",IF(AND($I108="Submitted",$J108&lt;&gt;"",TODAY()-$J108&gt;Settings!$B$9),"Follow up",""))</f>
        <v/>
      </c>
      <c r="Q108" s="17">
        <f>IF($B108="","",IF((COUNTIFS($D$2:$D$200,$D108,$I$2:$I$200,"Won")+COUNTIFS($D$2:$D$200,$D108,$I$2:$I$200,"Lost"))&gt;=Settings!$B$7,COUNTIFS($D$2:$D$200,$D108,$I$2:$I$200,"Won")/(COUNTIFS($D$2:$D$200,$D108,$I$2:$I$200,"Won")+COUNTIFS($D$2:$D$200,$D108,$I$2:$I$200,"Lost")),IF((COUNTIF($I$2:$I$200,"Won")+COUNTIF($I$2:$I$200,"Lost"))&gt;0,COUNTIF($I$2:$I$200,"Won")/(COUNTIF($I$2:$I$200,"Won")+COUNTIF($I$2:$I$200,"Lost")),Settings!$B$6)))</f>
        <v/>
      </c>
      <c r="R108" s="18">
        <f>IF(OR($B108="",$G108=""),"",$G108*$Q108)</f>
        <v/>
      </c>
      <c r="S108" s="18">
        <f>IF(OR($B108="",$H108=""),"",$H108*Settings!$B$4)</f>
        <v/>
      </c>
      <c r="T108" s="18">
        <f>IF(OR($B108="",$H108="",$H108=0,$G108=""),"",$R108/$H108)</f>
        <v/>
      </c>
      <c r="U108" s="11">
        <f>IF($B108="","",IF($T108="","Add value and hours",IF($T108&gt;=Settings!$B$4*Settings!$B$8,"Worth it",IF($T108&gt;=Settings!$B$4,"Thin","Skip?"))))</f>
        <v/>
      </c>
    </row>
    <row r="109">
      <c r="A109" s="10" t="n"/>
      <c r="B109" s="10" t="n"/>
      <c r="C109" s="10" t="n"/>
      <c r="D109" s="10" t="n"/>
      <c r="E109" s="19" t="n"/>
      <c r="F109" s="19" t="n"/>
      <c r="G109" s="8" t="n"/>
      <c r="H109" s="10" t="n"/>
      <c r="I109" s="10" t="n"/>
      <c r="J109" s="19" t="n"/>
      <c r="K109" s="19" t="n"/>
      <c r="L109" s="10" t="n"/>
      <c r="M109" s="10" t="n"/>
      <c r="N109" s="7">
        <f>IF(OR($F109="",$B109=""),"",$F109-TODAY())</f>
        <v/>
      </c>
      <c r="O109" s="7">
        <f>IF($B109="","",IF(OR($I109="Won",$I109="Lost",$I109="No bid",$I109="Submitted"),"",IF($F109="","No due date",IF($F109&lt;TODAY(),"OVERDUE",IF($F109-TODAY()&lt;=Settings!$B$10,"Due soon","")))))</f>
        <v/>
      </c>
      <c r="P109" s="7">
        <f>IF($B109="","",IF(AND($I109="Submitted",$J109&lt;&gt;"",TODAY()-$J109&gt;Settings!$B$9),"Follow up",""))</f>
        <v/>
      </c>
      <c r="Q109" s="17">
        <f>IF($B109="","",IF((COUNTIFS($D$2:$D$200,$D109,$I$2:$I$200,"Won")+COUNTIFS($D$2:$D$200,$D109,$I$2:$I$200,"Lost"))&gt;=Settings!$B$7,COUNTIFS($D$2:$D$200,$D109,$I$2:$I$200,"Won")/(COUNTIFS($D$2:$D$200,$D109,$I$2:$I$200,"Won")+COUNTIFS($D$2:$D$200,$D109,$I$2:$I$200,"Lost")),IF((COUNTIF($I$2:$I$200,"Won")+COUNTIF($I$2:$I$200,"Lost"))&gt;0,COUNTIF($I$2:$I$200,"Won")/(COUNTIF($I$2:$I$200,"Won")+COUNTIF($I$2:$I$200,"Lost")),Settings!$B$6)))</f>
        <v/>
      </c>
      <c r="R109" s="18">
        <f>IF(OR($B109="",$G109=""),"",$G109*$Q109)</f>
        <v/>
      </c>
      <c r="S109" s="18">
        <f>IF(OR($B109="",$H109=""),"",$H109*Settings!$B$4)</f>
        <v/>
      </c>
      <c r="T109" s="18">
        <f>IF(OR($B109="",$H109="",$H109=0,$G109=""),"",$R109/$H109)</f>
        <v/>
      </c>
      <c r="U109" s="11">
        <f>IF($B109="","",IF($T109="","Add value and hours",IF($T109&gt;=Settings!$B$4*Settings!$B$8,"Worth it",IF($T109&gt;=Settings!$B$4,"Thin","Skip?"))))</f>
        <v/>
      </c>
    </row>
    <row r="110">
      <c r="A110" s="10" t="n"/>
      <c r="B110" s="10" t="n"/>
      <c r="C110" s="10" t="n"/>
      <c r="D110" s="10" t="n"/>
      <c r="E110" s="19" t="n"/>
      <c r="F110" s="19" t="n"/>
      <c r="G110" s="8" t="n"/>
      <c r="H110" s="10" t="n"/>
      <c r="I110" s="10" t="n"/>
      <c r="J110" s="19" t="n"/>
      <c r="K110" s="19" t="n"/>
      <c r="L110" s="10" t="n"/>
      <c r="M110" s="10" t="n"/>
      <c r="N110" s="7">
        <f>IF(OR($F110="",$B110=""),"",$F110-TODAY())</f>
        <v/>
      </c>
      <c r="O110" s="7">
        <f>IF($B110="","",IF(OR($I110="Won",$I110="Lost",$I110="No bid",$I110="Submitted"),"",IF($F110="","No due date",IF($F110&lt;TODAY(),"OVERDUE",IF($F110-TODAY()&lt;=Settings!$B$10,"Due soon","")))))</f>
        <v/>
      </c>
      <c r="P110" s="7">
        <f>IF($B110="","",IF(AND($I110="Submitted",$J110&lt;&gt;"",TODAY()-$J110&gt;Settings!$B$9),"Follow up",""))</f>
        <v/>
      </c>
      <c r="Q110" s="17">
        <f>IF($B110="","",IF((COUNTIFS($D$2:$D$200,$D110,$I$2:$I$200,"Won")+COUNTIFS($D$2:$D$200,$D110,$I$2:$I$200,"Lost"))&gt;=Settings!$B$7,COUNTIFS($D$2:$D$200,$D110,$I$2:$I$200,"Won")/(COUNTIFS($D$2:$D$200,$D110,$I$2:$I$200,"Won")+COUNTIFS($D$2:$D$200,$D110,$I$2:$I$200,"Lost")),IF((COUNTIF($I$2:$I$200,"Won")+COUNTIF($I$2:$I$200,"Lost"))&gt;0,COUNTIF($I$2:$I$200,"Won")/(COUNTIF($I$2:$I$200,"Won")+COUNTIF($I$2:$I$200,"Lost")),Settings!$B$6)))</f>
        <v/>
      </c>
      <c r="R110" s="18">
        <f>IF(OR($B110="",$G110=""),"",$G110*$Q110)</f>
        <v/>
      </c>
      <c r="S110" s="18">
        <f>IF(OR($B110="",$H110=""),"",$H110*Settings!$B$4)</f>
        <v/>
      </c>
      <c r="T110" s="18">
        <f>IF(OR($B110="",$H110="",$H110=0,$G110=""),"",$R110/$H110)</f>
        <v/>
      </c>
      <c r="U110" s="11">
        <f>IF($B110="","",IF($T110="","Add value and hours",IF($T110&gt;=Settings!$B$4*Settings!$B$8,"Worth it",IF($T110&gt;=Settings!$B$4,"Thin","Skip?"))))</f>
        <v/>
      </c>
    </row>
    <row r="111">
      <c r="A111" s="10" t="n"/>
      <c r="B111" s="10" t="n"/>
      <c r="C111" s="10" t="n"/>
      <c r="D111" s="10" t="n"/>
      <c r="E111" s="19" t="n"/>
      <c r="F111" s="19" t="n"/>
      <c r="G111" s="8" t="n"/>
      <c r="H111" s="10" t="n"/>
      <c r="I111" s="10" t="n"/>
      <c r="J111" s="19" t="n"/>
      <c r="K111" s="19" t="n"/>
      <c r="L111" s="10" t="n"/>
      <c r="M111" s="10" t="n"/>
      <c r="N111" s="7">
        <f>IF(OR($F111="",$B111=""),"",$F111-TODAY())</f>
        <v/>
      </c>
      <c r="O111" s="7">
        <f>IF($B111="","",IF(OR($I111="Won",$I111="Lost",$I111="No bid",$I111="Submitted"),"",IF($F111="","No due date",IF($F111&lt;TODAY(),"OVERDUE",IF($F111-TODAY()&lt;=Settings!$B$10,"Due soon","")))))</f>
        <v/>
      </c>
      <c r="P111" s="7">
        <f>IF($B111="","",IF(AND($I111="Submitted",$J111&lt;&gt;"",TODAY()-$J111&gt;Settings!$B$9),"Follow up",""))</f>
        <v/>
      </c>
      <c r="Q111" s="17">
        <f>IF($B111="","",IF((COUNTIFS($D$2:$D$200,$D111,$I$2:$I$200,"Won")+COUNTIFS($D$2:$D$200,$D111,$I$2:$I$200,"Lost"))&gt;=Settings!$B$7,COUNTIFS($D$2:$D$200,$D111,$I$2:$I$200,"Won")/(COUNTIFS($D$2:$D$200,$D111,$I$2:$I$200,"Won")+COUNTIFS($D$2:$D$200,$D111,$I$2:$I$200,"Lost")),IF((COUNTIF($I$2:$I$200,"Won")+COUNTIF($I$2:$I$200,"Lost"))&gt;0,COUNTIF($I$2:$I$200,"Won")/(COUNTIF($I$2:$I$200,"Won")+COUNTIF($I$2:$I$200,"Lost")),Settings!$B$6)))</f>
        <v/>
      </c>
      <c r="R111" s="18">
        <f>IF(OR($B111="",$G111=""),"",$G111*$Q111)</f>
        <v/>
      </c>
      <c r="S111" s="18">
        <f>IF(OR($B111="",$H111=""),"",$H111*Settings!$B$4)</f>
        <v/>
      </c>
      <c r="T111" s="18">
        <f>IF(OR($B111="",$H111="",$H111=0,$G111=""),"",$R111/$H111)</f>
        <v/>
      </c>
      <c r="U111" s="11">
        <f>IF($B111="","",IF($T111="","Add value and hours",IF($T111&gt;=Settings!$B$4*Settings!$B$8,"Worth it",IF($T111&gt;=Settings!$B$4,"Thin","Skip?"))))</f>
        <v/>
      </c>
    </row>
    <row r="112">
      <c r="A112" s="10" t="n"/>
      <c r="B112" s="10" t="n"/>
      <c r="C112" s="10" t="n"/>
      <c r="D112" s="10" t="n"/>
      <c r="E112" s="19" t="n"/>
      <c r="F112" s="19" t="n"/>
      <c r="G112" s="8" t="n"/>
      <c r="H112" s="10" t="n"/>
      <c r="I112" s="10" t="n"/>
      <c r="J112" s="19" t="n"/>
      <c r="K112" s="19" t="n"/>
      <c r="L112" s="10" t="n"/>
      <c r="M112" s="10" t="n"/>
      <c r="N112" s="7">
        <f>IF(OR($F112="",$B112=""),"",$F112-TODAY())</f>
        <v/>
      </c>
      <c r="O112" s="7">
        <f>IF($B112="","",IF(OR($I112="Won",$I112="Lost",$I112="No bid",$I112="Submitted"),"",IF($F112="","No due date",IF($F112&lt;TODAY(),"OVERDUE",IF($F112-TODAY()&lt;=Settings!$B$10,"Due soon","")))))</f>
        <v/>
      </c>
      <c r="P112" s="7">
        <f>IF($B112="","",IF(AND($I112="Submitted",$J112&lt;&gt;"",TODAY()-$J112&gt;Settings!$B$9),"Follow up",""))</f>
        <v/>
      </c>
      <c r="Q112" s="17">
        <f>IF($B112="","",IF((COUNTIFS($D$2:$D$200,$D112,$I$2:$I$200,"Won")+COUNTIFS($D$2:$D$200,$D112,$I$2:$I$200,"Lost"))&gt;=Settings!$B$7,COUNTIFS($D$2:$D$200,$D112,$I$2:$I$200,"Won")/(COUNTIFS($D$2:$D$200,$D112,$I$2:$I$200,"Won")+COUNTIFS($D$2:$D$200,$D112,$I$2:$I$200,"Lost")),IF((COUNTIF($I$2:$I$200,"Won")+COUNTIF($I$2:$I$200,"Lost"))&gt;0,COUNTIF($I$2:$I$200,"Won")/(COUNTIF($I$2:$I$200,"Won")+COUNTIF($I$2:$I$200,"Lost")),Settings!$B$6)))</f>
        <v/>
      </c>
      <c r="R112" s="18">
        <f>IF(OR($B112="",$G112=""),"",$G112*$Q112)</f>
        <v/>
      </c>
      <c r="S112" s="18">
        <f>IF(OR($B112="",$H112=""),"",$H112*Settings!$B$4)</f>
        <v/>
      </c>
      <c r="T112" s="18">
        <f>IF(OR($B112="",$H112="",$H112=0,$G112=""),"",$R112/$H112)</f>
        <v/>
      </c>
      <c r="U112" s="11">
        <f>IF($B112="","",IF($T112="","Add value and hours",IF($T112&gt;=Settings!$B$4*Settings!$B$8,"Worth it",IF($T112&gt;=Settings!$B$4,"Thin","Skip?"))))</f>
        <v/>
      </c>
    </row>
    <row r="113">
      <c r="A113" s="10" t="n"/>
      <c r="B113" s="10" t="n"/>
      <c r="C113" s="10" t="n"/>
      <c r="D113" s="10" t="n"/>
      <c r="E113" s="19" t="n"/>
      <c r="F113" s="19" t="n"/>
      <c r="G113" s="8" t="n"/>
      <c r="H113" s="10" t="n"/>
      <c r="I113" s="10" t="n"/>
      <c r="J113" s="19" t="n"/>
      <c r="K113" s="19" t="n"/>
      <c r="L113" s="10" t="n"/>
      <c r="M113" s="10" t="n"/>
      <c r="N113" s="7">
        <f>IF(OR($F113="",$B113=""),"",$F113-TODAY())</f>
        <v/>
      </c>
      <c r="O113" s="7">
        <f>IF($B113="","",IF(OR($I113="Won",$I113="Lost",$I113="No bid",$I113="Submitted"),"",IF($F113="","No due date",IF($F113&lt;TODAY(),"OVERDUE",IF($F113-TODAY()&lt;=Settings!$B$10,"Due soon","")))))</f>
        <v/>
      </c>
      <c r="P113" s="7">
        <f>IF($B113="","",IF(AND($I113="Submitted",$J113&lt;&gt;"",TODAY()-$J113&gt;Settings!$B$9),"Follow up",""))</f>
        <v/>
      </c>
      <c r="Q113" s="17">
        <f>IF($B113="","",IF((COUNTIFS($D$2:$D$200,$D113,$I$2:$I$200,"Won")+COUNTIFS($D$2:$D$200,$D113,$I$2:$I$200,"Lost"))&gt;=Settings!$B$7,COUNTIFS($D$2:$D$200,$D113,$I$2:$I$200,"Won")/(COUNTIFS($D$2:$D$200,$D113,$I$2:$I$200,"Won")+COUNTIFS($D$2:$D$200,$D113,$I$2:$I$200,"Lost")),IF((COUNTIF($I$2:$I$200,"Won")+COUNTIF($I$2:$I$200,"Lost"))&gt;0,COUNTIF($I$2:$I$200,"Won")/(COUNTIF($I$2:$I$200,"Won")+COUNTIF($I$2:$I$200,"Lost")),Settings!$B$6)))</f>
        <v/>
      </c>
      <c r="R113" s="18">
        <f>IF(OR($B113="",$G113=""),"",$G113*$Q113)</f>
        <v/>
      </c>
      <c r="S113" s="18">
        <f>IF(OR($B113="",$H113=""),"",$H113*Settings!$B$4)</f>
        <v/>
      </c>
      <c r="T113" s="18">
        <f>IF(OR($B113="",$H113="",$H113=0,$G113=""),"",$R113/$H113)</f>
        <v/>
      </c>
      <c r="U113" s="11">
        <f>IF($B113="","",IF($T113="","Add value and hours",IF($T113&gt;=Settings!$B$4*Settings!$B$8,"Worth it",IF($T113&gt;=Settings!$B$4,"Thin","Skip?"))))</f>
        <v/>
      </c>
    </row>
    <row r="114">
      <c r="A114" s="10" t="n"/>
      <c r="B114" s="10" t="n"/>
      <c r="C114" s="10" t="n"/>
      <c r="D114" s="10" t="n"/>
      <c r="E114" s="19" t="n"/>
      <c r="F114" s="19" t="n"/>
      <c r="G114" s="8" t="n"/>
      <c r="H114" s="10" t="n"/>
      <c r="I114" s="10" t="n"/>
      <c r="J114" s="19" t="n"/>
      <c r="K114" s="19" t="n"/>
      <c r="L114" s="10" t="n"/>
      <c r="M114" s="10" t="n"/>
      <c r="N114" s="7">
        <f>IF(OR($F114="",$B114=""),"",$F114-TODAY())</f>
        <v/>
      </c>
      <c r="O114" s="7">
        <f>IF($B114="","",IF(OR($I114="Won",$I114="Lost",$I114="No bid",$I114="Submitted"),"",IF($F114="","No due date",IF($F114&lt;TODAY(),"OVERDUE",IF($F114-TODAY()&lt;=Settings!$B$10,"Due soon","")))))</f>
        <v/>
      </c>
      <c r="P114" s="7">
        <f>IF($B114="","",IF(AND($I114="Submitted",$J114&lt;&gt;"",TODAY()-$J114&gt;Settings!$B$9),"Follow up",""))</f>
        <v/>
      </c>
      <c r="Q114" s="17">
        <f>IF($B114="","",IF((COUNTIFS($D$2:$D$200,$D114,$I$2:$I$200,"Won")+COUNTIFS($D$2:$D$200,$D114,$I$2:$I$200,"Lost"))&gt;=Settings!$B$7,COUNTIFS($D$2:$D$200,$D114,$I$2:$I$200,"Won")/(COUNTIFS($D$2:$D$200,$D114,$I$2:$I$200,"Won")+COUNTIFS($D$2:$D$200,$D114,$I$2:$I$200,"Lost")),IF((COUNTIF($I$2:$I$200,"Won")+COUNTIF($I$2:$I$200,"Lost"))&gt;0,COUNTIF($I$2:$I$200,"Won")/(COUNTIF($I$2:$I$200,"Won")+COUNTIF($I$2:$I$200,"Lost")),Settings!$B$6)))</f>
        <v/>
      </c>
      <c r="R114" s="18">
        <f>IF(OR($B114="",$G114=""),"",$G114*$Q114)</f>
        <v/>
      </c>
      <c r="S114" s="18">
        <f>IF(OR($B114="",$H114=""),"",$H114*Settings!$B$4)</f>
        <v/>
      </c>
      <c r="T114" s="18">
        <f>IF(OR($B114="",$H114="",$H114=0,$G114=""),"",$R114/$H114)</f>
        <v/>
      </c>
      <c r="U114" s="11">
        <f>IF($B114="","",IF($T114="","Add value and hours",IF($T114&gt;=Settings!$B$4*Settings!$B$8,"Worth it",IF($T114&gt;=Settings!$B$4,"Thin","Skip?"))))</f>
        <v/>
      </c>
    </row>
    <row r="115">
      <c r="A115" s="10" t="n"/>
      <c r="B115" s="10" t="n"/>
      <c r="C115" s="10" t="n"/>
      <c r="D115" s="10" t="n"/>
      <c r="E115" s="19" t="n"/>
      <c r="F115" s="19" t="n"/>
      <c r="G115" s="8" t="n"/>
      <c r="H115" s="10" t="n"/>
      <c r="I115" s="10" t="n"/>
      <c r="J115" s="19" t="n"/>
      <c r="K115" s="19" t="n"/>
      <c r="L115" s="10" t="n"/>
      <c r="M115" s="10" t="n"/>
      <c r="N115" s="7">
        <f>IF(OR($F115="",$B115=""),"",$F115-TODAY())</f>
        <v/>
      </c>
      <c r="O115" s="7">
        <f>IF($B115="","",IF(OR($I115="Won",$I115="Lost",$I115="No bid",$I115="Submitted"),"",IF($F115="","No due date",IF($F115&lt;TODAY(),"OVERDUE",IF($F115-TODAY()&lt;=Settings!$B$10,"Due soon","")))))</f>
        <v/>
      </c>
      <c r="P115" s="7">
        <f>IF($B115="","",IF(AND($I115="Submitted",$J115&lt;&gt;"",TODAY()-$J115&gt;Settings!$B$9),"Follow up",""))</f>
        <v/>
      </c>
      <c r="Q115" s="17">
        <f>IF($B115="","",IF((COUNTIFS($D$2:$D$200,$D115,$I$2:$I$200,"Won")+COUNTIFS($D$2:$D$200,$D115,$I$2:$I$200,"Lost"))&gt;=Settings!$B$7,COUNTIFS($D$2:$D$200,$D115,$I$2:$I$200,"Won")/(COUNTIFS($D$2:$D$200,$D115,$I$2:$I$200,"Won")+COUNTIFS($D$2:$D$200,$D115,$I$2:$I$200,"Lost")),IF((COUNTIF($I$2:$I$200,"Won")+COUNTIF($I$2:$I$200,"Lost"))&gt;0,COUNTIF($I$2:$I$200,"Won")/(COUNTIF($I$2:$I$200,"Won")+COUNTIF($I$2:$I$200,"Lost")),Settings!$B$6)))</f>
        <v/>
      </c>
      <c r="R115" s="18">
        <f>IF(OR($B115="",$G115=""),"",$G115*$Q115)</f>
        <v/>
      </c>
      <c r="S115" s="18">
        <f>IF(OR($B115="",$H115=""),"",$H115*Settings!$B$4)</f>
        <v/>
      </c>
      <c r="T115" s="18">
        <f>IF(OR($B115="",$H115="",$H115=0,$G115=""),"",$R115/$H115)</f>
        <v/>
      </c>
      <c r="U115" s="11">
        <f>IF($B115="","",IF($T115="","Add value and hours",IF($T115&gt;=Settings!$B$4*Settings!$B$8,"Worth it",IF($T115&gt;=Settings!$B$4,"Thin","Skip?"))))</f>
        <v/>
      </c>
    </row>
    <row r="116">
      <c r="A116" s="10" t="n"/>
      <c r="B116" s="10" t="n"/>
      <c r="C116" s="10" t="n"/>
      <c r="D116" s="10" t="n"/>
      <c r="E116" s="19" t="n"/>
      <c r="F116" s="19" t="n"/>
      <c r="G116" s="8" t="n"/>
      <c r="H116" s="10" t="n"/>
      <c r="I116" s="10" t="n"/>
      <c r="J116" s="19" t="n"/>
      <c r="K116" s="19" t="n"/>
      <c r="L116" s="10" t="n"/>
      <c r="M116" s="10" t="n"/>
      <c r="N116" s="7">
        <f>IF(OR($F116="",$B116=""),"",$F116-TODAY())</f>
        <v/>
      </c>
      <c r="O116" s="7">
        <f>IF($B116="","",IF(OR($I116="Won",$I116="Lost",$I116="No bid",$I116="Submitted"),"",IF($F116="","No due date",IF($F116&lt;TODAY(),"OVERDUE",IF($F116-TODAY()&lt;=Settings!$B$10,"Due soon","")))))</f>
        <v/>
      </c>
      <c r="P116" s="7">
        <f>IF($B116="","",IF(AND($I116="Submitted",$J116&lt;&gt;"",TODAY()-$J116&gt;Settings!$B$9),"Follow up",""))</f>
        <v/>
      </c>
      <c r="Q116" s="17">
        <f>IF($B116="","",IF((COUNTIFS($D$2:$D$200,$D116,$I$2:$I$200,"Won")+COUNTIFS($D$2:$D$200,$D116,$I$2:$I$200,"Lost"))&gt;=Settings!$B$7,COUNTIFS($D$2:$D$200,$D116,$I$2:$I$200,"Won")/(COUNTIFS($D$2:$D$200,$D116,$I$2:$I$200,"Won")+COUNTIFS($D$2:$D$200,$D116,$I$2:$I$200,"Lost")),IF((COUNTIF($I$2:$I$200,"Won")+COUNTIF($I$2:$I$200,"Lost"))&gt;0,COUNTIF($I$2:$I$200,"Won")/(COUNTIF($I$2:$I$200,"Won")+COUNTIF($I$2:$I$200,"Lost")),Settings!$B$6)))</f>
        <v/>
      </c>
      <c r="R116" s="18">
        <f>IF(OR($B116="",$G116=""),"",$G116*$Q116)</f>
        <v/>
      </c>
      <c r="S116" s="18">
        <f>IF(OR($B116="",$H116=""),"",$H116*Settings!$B$4)</f>
        <v/>
      </c>
      <c r="T116" s="18">
        <f>IF(OR($B116="",$H116="",$H116=0,$G116=""),"",$R116/$H116)</f>
        <v/>
      </c>
      <c r="U116" s="11">
        <f>IF($B116="","",IF($T116="","Add value and hours",IF($T116&gt;=Settings!$B$4*Settings!$B$8,"Worth it",IF($T116&gt;=Settings!$B$4,"Thin","Skip?"))))</f>
        <v/>
      </c>
    </row>
    <row r="117">
      <c r="A117" s="10" t="n"/>
      <c r="B117" s="10" t="n"/>
      <c r="C117" s="10" t="n"/>
      <c r="D117" s="10" t="n"/>
      <c r="E117" s="19" t="n"/>
      <c r="F117" s="19" t="n"/>
      <c r="G117" s="8" t="n"/>
      <c r="H117" s="10" t="n"/>
      <c r="I117" s="10" t="n"/>
      <c r="J117" s="19" t="n"/>
      <c r="K117" s="19" t="n"/>
      <c r="L117" s="10" t="n"/>
      <c r="M117" s="10" t="n"/>
      <c r="N117" s="7">
        <f>IF(OR($F117="",$B117=""),"",$F117-TODAY())</f>
        <v/>
      </c>
      <c r="O117" s="7">
        <f>IF($B117="","",IF(OR($I117="Won",$I117="Lost",$I117="No bid",$I117="Submitted"),"",IF($F117="","No due date",IF($F117&lt;TODAY(),"OVERDUE",IF($F117-TODAY()&lt;=Settings!$B$10,"Due soon","")))))</f>
        <v/>
      </c>
      <c r="P117" s="7">
        <f>IF($B117="","",IF(AND($I117="Submitted",$J117&lt;&gt;"",TODAY()-$J117&gt;Settings!$B$9),"Follow up",""))</f>
        <v/>
      </c>
      <c r="Q117" s="17">
        <f>IF($B117="","",IF((COUNTIFS($D$2:$D$200,$D117,$I$2:$I$200,"Won")+COUNTIFS($D$2:$D$200,$D117,$I$2:$I$200,"Lost"))&gt;=Settings!$B$7,COUNTIFS($D$2:$D$200,$D117,$I$2:$I$200,"Won")/(COUNTIFS($D$2:$D$200,$D117,$I$2:$I$200,"Won")+COUNTIFS($D$2:$D$200,$D117,$I$2:$I$200,"Lost")),IF((COUNTIF($I$2:$I$200,"Won")+COUNTIF($I$2:$I$200,"Lost"))&gt;0,COUNTIF($I$2:$I$200,"Won")/(COUNTIF($I$2:$I$200,"Won")+COUNTIF($I$2:$I$200,"Lost")),Settings!$B$6)))</f>
        <v/>
      </c>
      <c r="R117" s="18">
        <f>IF(OR($B117="",$G117=""),"",$G117*$Q117)</f>
        <v/>
      </c>
      <c r="S117" s="18">
        <f>IF(OR($B117="",$H117=""),"",$H117*Settings!$B$4)</f>
        <v/>
      </c>
      <c r="T117" s="18">
        <f>IF(OR($B117="",$H117="",$H117=0,$G117=""),"",$R117/$H117)</f>
        <v/>
      </c>
      <c r="U117" s="11">
        <f>IF($B117="","",IF($T117="","Add value and hours",IF($T117&gt;=Settings!$B$4*Settings!$B$8,"Worth it",IF($T117&gt;=Settings!$B$4,"Thin","Skip?"))))</f>
        <v/>
      </c>
    </row>
    <row r="118">
      <c r="A118" s="10" t="n"/>
      <c r="B118" s="10" t="n"/>
      <c r="C118" s="10" t="n"/>
      <c r="D118" s="10" t="n"/>
      <c r="E118" s="19" t="n"/>
      <c r="F118" s="19" t="n"/>
      <c r="G118" s="8" t="n"/>
      <c r="H118" s="10" t="n"/>
      <c r="I118" s="10" t="n"/>
      <c r="J118" s="19" t="n"/>
      <c r="K118" s="19" t="n"/>
      <c r="L118" s="10" t="n"/>
      <c r="M118" s="10" t="n"/>
      <c r="N118" s="7">
        <f>IF(OR($F118="",$B118=""),"",$F118-TODAY())</f>
        <v/>
      </c>
      <c r="O118" s="7">
        <f>IF($B118="","",IF(OR($I118="Won",$I118="Lost",$I118="No bid",$I118="Submitted"),"",IF($F118="","No due date",IF($F118&lt;TODAY(),"OVERDUE",IF($F118-TODAY()&lt;=Settings!$B$10,"Due soon","")))))</f>
        <v/>
      </c>
      <c r="P118" s="7">
        <f>IF($B118="","",IF(AND($I118="Submitted",$J118&lt;&gt;"",TODAY()-$J118&gt;Settings!$B$9),"Follow up",""))</f>
        <v/>
      </c>
      <c r="Q118" s="17">
        <f>IF($B118="","",IF((COUNTIFS($D$2:$D$200,$D118,$I$2:$I$200,"Won")+COUNTIFS($D$2:$D$200,$D118,$I$2:$I$200,"Lost"))&gt;=Settings!$B$7,COUNTIFS($D$2:$D$200,$D118,$I$2:$I$200,"Won")/(COUNTIFS($D$2:$D$200,$D118,$I$2:$I$200,"Won")+COUNTIFS($D$2:$D$200,$D118,$I$2:$I$200,"Lost")),IF((COUNTIF($I$2:$I$200,"Won")+COUNTIF($I$2:$I$200,"Lost"))&gt;0,COUNTIF($I$2:$I$200,"Won")/(COUNTIF($I$2:$I$200,"Won")+COUNTIF($I$2:$I$200,"Lost")),Settings!$B$6)))</f>
        <v/>
      </c>
      <c r="R118" s="18">
        <f>IF(OR($B118="",$G118=""),"",$G118*$Q118)</f>
        <v/>
      </c>
      <c r="S118" s="18">
        <f>IF(OR($B118="",$H118=""),"",$H118*Settings!$B$4)</f>
        <v/>
      </c>
      <c r="T118" s="18">
        <f>IF(OR($B118="",$H118="",$H118=0,$G118=""),"",$R118/$H118)</f>
        <v/>
      </c>
      <c r="U118" s="11">
        <f>IF($B118="","",IF($T118="","Add value and hours",IF($T118&gt;=Settings!$B$4*Settings!$B$8,"Worth it",IF($T118&gt;=Settings!$B$4,"Thin","Skip?"))))</f>
        <v/>
      </c>
    </row>
    <row r="119">
      <c r="A119" s="10" t="n"/>
      <c r="B119" s="10" t="n"/>
      <c r="C119" s="10" t="n"/>
      <c r="D119" s="10" t="n"/>
      <c r="E119" s="19" t="n"/>
      <c r="F119" s="19" t="n"/>
      <c r="G119" s="8" t="n"/>
      <c r="H119" s="10" t="n"/>
      <c r="I119" s="10" t="n"/>
      <c r="J119" s="19" t="n"/>
      <c r="K119" s="19" t="n"/>
      <c r="L119" s="10" t="n"/>
      <c r="M119" s="10" t="n"/>
      <c r="N119" s="7">
        <f>IF(OR($F119="",$B119=""),"",$F119-TODAY())</f>
        <v/>
      </c>
      <c r="O119" s="7">
        <f>IF($B119="","",IF(OR($I119="Won",$I119="Lost",$I119="No bid",$I119="Submitted"),"",IF($F119="","No due date",IF($F119&lt;TODAY(),"OVERDUE",IF($F119-TODAY()&lt;=Settings!$B$10,"Due soon","")))))</f>
        <v/>
      </c>
      <c r="P119" s="7">
        <f>IF($B119="","",IF(AND($I119="Submitted",$J119&lt;&gt;"",TODAY()-$J119&gt;Settings!$B$9),"Follow up",""))</f>
        <v/>
      </c>
      <c r="Q119" s="17">
        <f>IF($B119="","",IF((COUNTIFS($D$2:$D$200,$D119,$I$2:$I$200,"Won")+COUNTIFS($D$2:$D$200,$D119,$I$2:$I$200,"Lost"))&gt;=Settings!$B$7,COUNTIFS($D$2:$D$200,$D119,$I$2:$I$200,"Won")/(COUNTIFS($D$2:$D$200,$D119,$I$2:$I$200,"Won")+COUNTIFS($D$2:$D$200,$D119,$I$2:$I$200,"Lost")),IF((COUNTIF($I$2:$I$200,"Won")+COUNTIF($I$2:$I$200,"Lost"))&gt;0,COUNTIF($I$2:$I$200,"Won")/(COUNTIF($I$2:$I$200,"Won")+COUNTIF($I$2:$I$200,"Lost")),Settings!$B$6)))</f>
        <v/>
      </c>
      <c r="R119" s="18">
        <f>IF(OR($B119="",$G119=""),"",$G119*$Q119)</f>
        <v/>
      </c>
      <c r="S119" s="18">
        <f>IF(OR($B119="",$H119=""),"",$H119*Settings!$B$4)</f>
        <v/>
      </c>
      <c r="T119" s="18">
        <f>IF(OR($B119="",$H119="",$H119=0,$G119=""),"",$R119/$H119)</f>
        <v/>
      </c>
      <c r="U119" s="11">
        <f>IF($B119="","",IF($T119="","Add value and hours",IF($T119&gt;=Settings!$B$4*Settings!$B$8,"Worth it",IF($T119&gt;=Settings!$B$4,"Thin","Skip?"))))</f>
        <v/>
      </c>
    </row>
    <row r="120">
      <c r="A120" s="10" t="n"/>
      <c r="B120" s="10" t="n"/>
      <c r="C120" s="10" t="n"/>
      <c r="D120" s="10" t="n"/>
      <c r="E120" s="19" t="n"/>
      <c r="F120" s="19" t="n"/>
      <c r="G120" s="8" t="n"/>
      <c r="H120" s="10" t="n"/>
      <c r="I120" s="10" t="n"/>
      <c r="J120" s="19" t="n"/>
      <c r="K120" s="19" t="n"/>
      <c r="L120" s="10" t="n"/>
      <c r="M120" s="10" t="n"/>
      <c r="N120" s="7">
        <f>IF(OR($F120="",$B120=""),"",$F120-TODAY())</f>
        <v/>
      </c>
      <c r="O120" s="7">
        <f>IF($B120="","",IF(OR($I120="Won",$I120="Lost",$I120="No bid",$I120="Submitted"),"",IF($F120="","No due date",IF($F120&lt;TODAY(),"OVERDUE",IF($F120-TODAY()&lt;=Settings!$B$10,"Due soon","")))))</f>
        <v/>
      </c>
      <c r="P120" s="7">
        <f>IF($B120="","",IF(AND($I120="Submitted",$J120&lt;&gt;"",TODAY()-$J120&gt;Settings!$B$9),"Follow up",""))</f>
        <v/>
      </c>
      <c r="Q120" s="17">
        <f>IF($B120="","",IF((COUNTIFS($D$2:$D$200,$D120,$I$2:$I$200,"Won")+COUNTIFS($D$2:$D$200,$D120,$I$2:$I$200,"Lost"))&gt;=Settings!$B$7,COUNTIFS($D$2:$D$200,$D120,$I$2:$I$200,"Won")/(COUNTIFS($D$2:$D$200,$D120,$I$2:$I$200,"Won")+COUNTIFS($D$2:$D$200,$D120,$I$2:$I$200,"Lost")),IF((COUNTIF($I$2:$I$200,"Won")+COUNTIF($I$2:$I$200,"Lost"))&gt;0,COUNTIF($I$2:$I$200,"Won")/(COUNTIF($I$2:$I$200,"Won")+COUNTIF($I$2:$I$200,"Lost")),Settings!$B$6)))</f>
        <v/>
      </c>
      <c r="R120" s="18">
        <f>IF(OR($B120="",$G120=""),"",$G120*$Q120)</f>
        <v/>
      </c>
      <c r="S120" s="18">
        <f>IF(OR($B120="",$H120=""),"",$H120*Settings!$B$4)</f>
        <v/>
      </c>
      <c r="T120" s="18">
        <f>IF(OR($B120="",$H120="",$H120=0,$G120=""),"",$R120/$H120)</f>
        <v/>
      </c>
      <c r="U120" s="11">
        <f>IF($B120="","",IF($T120="","Add value and hours",IF($T120&gt;=Settings!$B$4*Settings!$B$8,"Worth it",IF($T120&gt;=Settings!$B$4,"Thin","Skip?"))))</f>
        <v/>
      </c>
    </row>
    <row r="121">
      <c r="A121" s="10" t="n"/>
      <c r="B121" s="10" t="n"/>
      <c r="C121" s="10" t="n"/>
      <c r="D121" s="10" t="n"/>
      <c r="E121" s="19" t="n"/>
      <c r="F121" s="19" t="n"/>
      <c r="G121" s="8" t="n"/>
      <c r="H121" s="10" t="n"/>
      <c r="I121" s="10" t="n"/>
      <c r="J121" s="19" t="n"/>
      <c r="K121" s="19" t="n"/>
      <c r="L121" s="10" t="n"/>
      <c r="M121" s="10" t="n"/>
      <c r="N121" s="7">
        <f>IF(OR($F121="",$B121=""),"",$F121-TODAY())</f>
        <v/>
      </c>
      <c r="O121" s="7">
        <f>IF($B121="","",IF(OR($I121="Won",$I121="Lost",$I121="No bid",$I121="Submitted"),"",IF($F121="","No due date",IF($F121&lt;TODAY(),"OVERDUE",IF($F121-TODAY()&lt;=Settings!$B$10,"Due soon","")))))</f>
        <v/>
      </c>
      <c r="P121" s="7">
        <f>IF($B121="","",IF(AND($I121="Submitted",$J121&lt;&gt;"",TODAY()-$J121&gt;Settings!$B$9),"Follow up",""))</f>
        <v/>
      </c>
      <c r="Q121" s="17">
        <f>IF($B121="","",IF((COUNTIFS($D$2:$D$200,$D121,$I$2:$I$200,"Won")+COUNTIFS($D$2:$D$200,$D121,$I$2:$I$200,"Lost"))&gt;=Settings!$B$7,COUNTIFS($D$2:$D$200,$D121,$I$2:$I$200,"Won")/(COUNTIFS($D$2:$D$200,$D121,$I$2:$I$200,"Won")+COUNTIFS($D$2:$D$200,$D121,$I$2:$I$200,"Lost")),IF((COUNTIF($I$2:$I$200,"Won")+COUNTIF($I$2:$I$200,"Lost"))&gt;0,COUNTIF($I$2:$I$200,"Won")/(COUNTIF($I$2:$I$200,"Won")+COUNTIF($I$2:$I$200,"Lost")),Settings!$B$6)))</f>
        <v/>
      </c>
      <c r="R121" s="18">
        <f>IF(OR($B121="",$G121=""),"",$G121*$Q121)</f>
        <v/>
      </c>
      <c r="S121" s="18">
        <f>IF(OR($B121="",$H121=""),"",$H121*Settings!$B$4)</f>
        <v/>
      </c>
      <c r="T121" s="18">
        <f>IF(OR($B121="",$H121="",$H121=0,$G121=""),"",$R121/$H121)</f>
        <v/>
      </c>
      <c r="U121" s="11">
        <f>IF($B121="","",IF($T121="","Add value and hours",IF($T121&gt;=Settings!$B$4*Settings!$B$8,"Worth it",IF($T121&gt;=Settings!$B$4,"Thin","Skip?"))))</f>
        <v/>
      </c>
    </row>
    <row r="122">
      <c r="A122" s="10" t="n"/>
      <c r="B122" s="10" t="n"/>
      <c r="C122" s="10" t="n"/>
      <c r="D122" s="10" t="n"/>
      <c r="E122" s="19" t="n"/>
      <c r="F122" s="19" t="n"/>
      <c r="G122" s="8" t="n"/>
      <c r="H122" s="10" t="n"/>
      <c r="I122" s="10" t="n"/>
      <c r="J122" s="19" t="n"/>
      <c r="K122" s="19" t="n"/>
      <c r="L122" s="10" t="n"/>
      <c r="M122" s="10" t="n"/>
      <c r="N122" s="7">
        <f>IF(OR($F122="",$B122=""),"",$F122-TODAY())</f>
        <v/>
      </c>
      <c r="O122" s="7">
        <f>IF($B122="","",IF(OR($I122="Won",$I122="Lost",$I122="No bid",$I122="Submitted"),"",IF($F122="","No due date",IF($F122&lt;TODAY(),"OVERDUE",IF($F122-TODAY()&lt;=Settings!$B$10,"Due soon","")))))</f>
        <v/>
      </c>
      <c r="P122" s="7">
        <f>IF($B122="","",IF(AND($I122="Submitted",$J122&lt;&gt;"",TODAY()-$J122&gt;Settings!$B$9),"Follow up",""))</f>
        <v/>
      </c>
      <c r="Q122" s="17">
        <f>IF($B122="","",IF((COUNTIFS($D$2:$D$200,$D122,$I$2:$I$200,"Won")+COUNTIFS($D$2:$D$200,$D122,$I$2:$I$200,"Lost"))&gt;=Settings!$B$7,COUNTIFS($D$2:$D$200,$D122,$I$2:$I$200,"Won")/(COUNTIFS($D$2:$D$200,$D122,$I$2:$I$200,"Won")+COUNTIFS($D$2:$D$200,$D122,$I$2:$I$200,"Lost")),IF((COUNTIF($I$2:$I$200,"Won")+COUNTIF($I$2:$I$200,"Lost"))&gt;0,COUNTIF($I$2:$I$200,"Won")/(COUNTIF($I$2:$I$200,"Won")+COUNTIF($I$2:$I$200,"Lost")),Settings!$B$6)))</f>
        <v/>
      </c>
      <c r="R122" s="18">
        <f>IF(OR($B122="",$G122=""),"",$G122*$Q122)</f>
        <v/>
      </c>
      <c r="S122" s="18">
        <f>IF(OR($B122="",$H122=""),"",$H122*Settings!$B$4)</f>
        <v/>
      </c>
      <c r="T122" s="18">
        <f>IF(OR($B122="",$H122="",$H122=0,$G122=""),"",$R122/$H122)</f>
        <v/>
      </c>
      <c r="U122" s="11">
        <f>IF($B122="","",IF($T122="","Add value and hours",IF($T122&gt;=Settings!$B$4*Settings!$B$8,"Worth it",IF($T122&gt;=Settings!$B$4,"Thin","Skip?"))))</f>
        <v/>
      </c>
    </row>
    <row r="123">
      <c r="A123" s="10" t="n"/>
      <c r="B123" s="10" t="n"/>
      <c r="C123" s="10" t="n"/>
      <c r="D123" s="10" t="n"/>
      <c r="E123" s="19" t="n"/>
      <c r="F123" s="19" t="n"/>
      <c r="G123" s="8" t="n"/>
      <c r="H123" s="10" t="n"/>
      <c r="I123" s="10" t="n"/>
      <c r="J123" s="19" t="n"/>
      <c r="K123" s="19" t="n"/>
      <c r="L123" s="10" t="n"/>
      <c r="M123" s="10" t="n"/>
      <c r="N123" s="7">
        <f>IF(OR($F123="",$B123=""),"",$F123-TODAY())</f>
        <v/>
      </c>
      <c r="O123" s="7">
        <f>IF($B123="","",IF(OR($I123="Won",$I123="Lost",$I123="No bid",$I123="Submitted"),"",IF($F123="","No due date",IF($F123&lt;TODAY(),"OVERDUE",IF($F123-TODAY()&lt;=Settings!$B$10,"Due soon","")))))</f>
        <v/>
      </c>
      <c r="P123" s="7">
        <f>IF($B123="","",IF(AND($I123="Submitted",$J123&lt;&gt;"",TODAY()-$J123&gt;Settings!$B$9),"Follow up",""))</f>
        <v/>
      </c>
      <c r="Q123" s="17">
        <f>IF($B123="","",IF((COUNTIFS($D$2:$D$200,$D123,$I$2:$I$200,"Won")+COUNTIFS($D$2:$D$200,$D123,$I$2:$I$200,"Lost"))&gt;=Settings!$B$7,COUNTIFS($D$2:$D$200,$D123,$I$2:$I$200,"Won")/(COUNTIFS($D$2:$D$200,$D123,$I$2:$I$200,"Won")+COUNTIFS($D$2:$D$200,$D123,$I$2:$I$200,"Lost")),IF((COUNTIF($I$2:$I$200,"Won")+COUNTIF($I$2:$I$200,"Lost"))&gt;0,COUNTIF($I$2:$I$200,"Won")/(COUNTIF($I$2:$I$200,"Won")+COUNTIF($I$2:$I$200,"Lost")),Settings!$B$6)))</f>
        <v/>
      </c>
      <c r="R123" s="18">
        <f>IF(OR($B123="",$G123=""),"",$G123*$Q123)</f>
        <v/>
      </c>
      <c r="S123" s="18">
        <f>IF(OR($B123="",$H123=""),"",$H123*Settings!$B$4)</f>
        <v/>
      </c>
      <c r="T123" s="18">
        <f>IF(OR($B123="",$H123="",$H123=0,$G123=""),"",$R123/$H123)</f>
        <v/>
      </c>
      <c r="U123" s="11">
        <f>IF($B123="","",IF($T123="","Add value and hours",IF($T123&gt;=Settings!$B$4*Settings!$B$8,"Worth it",IF($T123&gt;=Settings!$B$4,"Thin","Skip?"))))</f>
        <v/>
      </c>
    </row>
    <row r="124">
      <c r="A124" s="10" t="n"/>
      <c r="B124" s="10" t="n"/>
      <c r="C124" s="10" t="n"/>
      <c r="D124" s="10" t="n"/>
      <c r="E124" s="19" t="n"/>
      <c r="F124" s="19" t="n"/>
      <c r="G124" s="8" t="n"/>
      <c r="H124" s="10" t="n"/>
      <c r="I124" s="10" t="n"/>
      <c r="J124" s="19" t="n"/>
      <c r="K124" s="19" t="n"/>
      <c r="L124" s="10" t="n"/>
      <c r="M124" s="10" t="n"/>
      <c r="N124" s="7">
        <f>IF(OR($F124="",$B124=""),"",$F124-TODAY())</f>
        <v/>
      </c>
      <c r="O124" s="7">
        <f>IF($B124="","",IF(OR($I124="Won",$I124="Lost",$I124="No bid",$I124="Submitted"),"",IF($F124="","No due date",IF($F124&lt;TODAY(),"OVERDUE",IF($F124-TODAY()&lt;=Settings!$B$10,"Due soon","")))))</f>
        <v/>
      </c>
      <c r="P124" s="7">
        <f>IF($B124="","",IF(AND($I124="Submitted",$J124&lt;&gt;"",TODAY()-$J124&gt;Settings!$B$9),"Follow up",""))</f>
        <v/>
      </c>
      <c r="Q124" s="17">
        <f>IF($B124="","",IF((COUNTIFS($D$2:$D$200,$D124,$I$2:$I$200,"Won")+COUNTIFS($D$2:$D$200,$D124,$I$2:$I$200,"Lost"))&gt;=Settings!$B$7,COUNTIFS($D$2:$D$200,$D124,$I$2:$I$200,"Won")/(COUNTIFS($D$2:$D$200,$D124,$I$2:$I$200,"Won")+COUNTIFS($D$2:$D$200,$D124,$I$2:$I$200,"Lost")),IF((COUNTIF($I$2:$I$200,"Won")+COUNTIF($I$2:$I$200,"Lost"))&gt;0,COUNTIF($I$2:$I$200,"Won")/(COUNTIF($I$2:$I$200,"Won")+COUNTIF($I$2:$I$200,"Lost")),Settings!$B$6)))</f>
        <v/>
      </c>
      <c r="R124" s="18">
        <f>IF(OR($B124="",$G124=""),"",$G124*$Q124)</f>
        <v/>
      </c>
      <c r="S124" s="18">
        <f>IF(OR($B124="",$H124=""),"",$H124*Settings!$B$4)</f>
        <v/>
      </c>
      <c r="T124" s="18">
        <f>IF(OR($B124="",$H124="",$H124=0,$G124=""),"",$R124/$H124)</f>
        <v/>
      </c>
      <c r="U124" s="11">
        <f>IF($B124="","",IF($T124="","Add value and hours",IF($T124&gt;=Settings!$B$4*Settings!$B$8,"Worth it",IF($T124&gt;=Settings!$B$4,"Thin","Skip?"))))</f>
        <v/>
      </c>
    </row>
    <row r="125">
      <c r="A125" s="10" t="n"/>
      <c r="B125" s="10" t="n"/>
      <c r="C125" s="10" t="n"/>
      <c r="D125" s="10" t="n"/>
      <c r="E125" s="19" t="n"/>
      <c r="F125" s="19" t="n"/>
      <c r="G125" s="8" t="n"/>
      <c r="H125" s="10" t="n"/>
      <c r="I125" s="10" t="n"/>
      <c r="J125" s="19" t="n"/>
      <c r="K125" s="19" t="n"/>
      <c r="L125" s="10" t="n"/>
      <c r="M125" s="10" t="n"/>
      <c r="N125" s="7">
        <f>IF(OR($F125="",$B125=""),"",$F125-TODAY())</f>
        <v/>
      </c>
      <c r="O125" s="7">
        <f>IF($B125="","",IF(OR($I125="Won",$I125="Lost",$I125="No bid",$I125="Submitted"),"",IF($F125="","No due date",IF($F125&lt;TODAY(),"OVERDUE",IF($F125-TODAY()&lt;=Settings!$B$10,"Due soon","")))))</f>
        <v/>
      </c>
      <c r="P125" s="7">
        <f>IF($B125="","",IF(AND($I125="Submitted",$J125&lt;&gt;"",TODAY()-$J125&gt;Settings!$B$9),"Follow up",""))</f>
        <v/>
      </c>
      <c r="Q125" s="17">
        <f>IF($B125="","",IF((COUNTIFS($D$2:$D$200,$D125,$I$2:$I$200,"Won")+COUNTIFS($D$2:$D$200,$D125,$I$2:$I$200,"Lost"))&gt;=Settings!$B$7,COUNTIFS($D$2:$D$200,$D125,$I$2:$I$200,"Won")/(COUNTIFS($D$2:$D$200,$D125,$I$2:$I$200,"Won")+COUNTIFS($D$2:$D$200,$D125,$I$2:$I$200,"Lost")),IF((COUNTIF($I$2:$I$200,"Won")+COUNTIF($I$2:$I$200,"Lost"))&gt;0,COUNTIF($I$2:$I$200,"Won")/(COUNTIF($I$2:$I$200,"Won")+COUNTIF($I$2:$I$200,"Lost")),Settings!$B$6)))</f>
        <v/>
      </c>
      <c r="R125" s="18">
        <f>IF(OR($B125="",$G125=""),"",$G125*$Q125)</f>
        <v/>
      </c>
      <c r="S125" s="18">
        <f>IF(OR($B125="",$H125=""),"",$H125*Settings!$B$4)</f>
        <v/>
      </c>
      <c r="T125" s="18">
        <f>IF(OR($B125="",$H125="",$H125=0,$G125=""),"",$R125/$H125)</f>
        <v/>
      </c>
      <c r="U125" s="11">
        <f>IF($B125="","",IF($T125="","Add value and hours",IF($T125&gt;=Settings!$B$4*Settings!$B$8,"Worth it",IF($T125&gt;=Settings!$B$4,"Thin","Skip?"))))</f>
        <v/>
      </c>
    </row>
    <row r="126">
      <c r="A126" s="10" t="n"/>
      <c r="B126" s="10" t="n"/>
      <c r="C126" s="10" t="n"/>
      <c r="D126" s="10" t="n"/>
      <c r="E126" s="19" t="n"/>
      <c r="F126" s="19" t="n"/>
      <c r="G126" s="8" t="n"/>
      <c r="H126" s="10" t="n"/>
      <c r="I126" s="10" t="n"/>
      <c r="J126" s="19" t="n"/>
      <c r="K126" s="19" t="n"/>
      <c r="L126" s="10" t="n"/>
      <c r="M126" s="10" t="n"/>
      <c r="N126" s="7">
        <f>IF(OR($F126="",$B126=""),"",$F126-TODAY())</f>
        <v/>
      </c>
      <c r="O126" s="7">
        <f>IF($B126="","",IF(OR($I126="Won",$I126="Lost",$I126="No bid",$I126="Submitted"),"",IF($F126="","No due date",IF($F126&lt;TODAY(),"OVERDUE",IF($F126-TODAY()&lt;=Settings!$B$10,"Due soon","")))))</f>
        <v/>
      </c>
      <c r="P126" s="7">
        <f>IF($B126="","",IF(AND($I126="Submitted",$J126&lt;&gt;"",TODAY()-$J126&gt;Settings!$B$9),"Follow up",""))</f>
        <v/>
      </c>
      <c r="Q126" s="17">
        <f>IF($B126="","",IF((COUNTIFS($D$2:$D$200,$D126,$I$2:$I$200,"Won")+COUNTIFS($D$2:$D$200,$D126,$I$2:$I$200,"Lost"))&gt;=Settings!$B$7,COUNTIFS($D$2:$D$200,$D126,$I$2:$I$200,"Won")/(COUNTIFS($D$2:$D$200,$D126,$I$2:$I$200,"Won")+COUNTIFS($D$2:$D$200,$D126,$I$2:$I$200,"Lost")),IF((COUNTIF($I$2:$I$200,"Won")+COUNTIF($I$2:$I$200,"Lost"))&gt;0,COUNTIF($I$2:$I$200,"Won")/(COUNTIF($I$2:$I$200,"Won")+COUNTIF($I$2:$I$200,"Lost")),Settings!$B$6)))</f>
        <v/>
      </c>
      <c r="R126" s="18">
        <f>IF(OR($B126="",$G126=""),"",$G126*$Q126)</f>
        <v/>
      </c>
      <c r="S126" s="18">
        <f>IF(OR($B126="",$H126=""),"",$H126*Settings!$B$4)</f>
        <v/>
      </c>
      <c r="T126" s="18">
        <f>IF(OR($B126="",$H126="",$H126=0,$G126=""),"",$R126/$H126)</f>
        <v/>
      </c>
      <c r="U126" s="11">
        <f>IF($B126="","",IF($T126="","Add value and hours",IF($T126&gt;=Settings!$B$4*Settings!$B$8,"Worth it",IF($T126&gt;=Settings!$B$4,"Thin","Skip?"))))</f>
        <v/>
      </c>
    </row>
    <row r="127">
      <c r="A127" s="10" t="n"/>
      <c r="B127" s="10" t="n"/>
      <c r="C127" s="10" t="n"/>
      <c r="D127" s="10" t="n"/>
      <c r="E127" s="19" t="n"/>
      <c r="F127" s="19" t="n"/>
      <c r="G127" s="8" t="n"/>
      <c r="H127" s="10" t="n"/>
      <c r="I127" s="10" t="n"/>
      <c r="J127" s="19" t="n"/>
      <c r="K127" s="19" t="n"/>
      <c r="L127" s="10" t="n"/>
      <c r="M127" s="10" t="n"/>
      <c r="N127" s="7">
        <f>IF(OR($F127="",$B127=""),"",$F127-TODAY())</f>
        <v/>
      </c>
      <c r="O127" s="7">
        <f>IF($B127="","",IF(OR($I127="Won",$I127="Lost",$I127="No bid",$I127="Submitted"),"",IF($F127="","No due date",IF($F127&lt;TODAY(),"OVERDUE",IF($F127-TODAY()&lt;=Settings!$B$10,"Due soon","")))))</f>
        <v/>
      </c>
      <c r="P127" s="7">
        <f>IF($B127="","",IF(AND($I127="Submitted",$J127&lt;&gt;"",TODAY()-$J127&gt;Settings!$B$9),"Follow up",""))</f>
        <v/>
      </c>
      <c r="Q127" s="17">
        <f>IF($B127="","",IF((COUNTIFS($D$2:$D$200,$D127,$I$2:$I$200,"Won")+COUNTIFS($D$2:$D$200,$D127,$I$2:$I$200,"Lost"))&gt;=Settings!$B$7,COUNTIFS($D$2:$D$200,$D127,$I$2:$I$200,"Won")/(COUNTIFS($D$2:$D$200,$D127,$I$2:$I$200,"Won")+COUNTIFS($D$2:$D$200,$D127,$I$2:$I$200,"Lost")),IF((COUNTIF($I$2:$I$200,"Won")+COUNTIF($I$2:$I$200,"Lost"))&gt;0,COUNTIF($I$2:$I$200,"Won")/(COUNTIF($I$2:$I$200,"Won")+COUNTIF($I$2:$I$200,"Lost")),Settings!$B$6)))</f>
        <v/>
      </c>
      <c r="R127" s="18">
        <f>IF(OR($B127="",$G127=""),"",$G127*$Q127)</f>
        <v/>
      </c>
      <c r="S127" s="18">
        <f>IF(OR($B127="",$H127=""),"",$H127*Settings!$B$4)</f>
        <v/>
      </c>
      <c r="T127" s="18">
        <f>IF(OR($B127="",$H127="",$H127=0,$G127=""),"",$R127/$H127)</f>
        <v/>
      </c>
      <c r="U127" s="11">
        <f>IF($B127="","",IF($T127="","Add value and hours",IF($T127&gt;=Settings!$B$4*Settings!$B$8,"Worth it",IF($T127&gt;=Settings!$B$4,"Thin","Skip?"))))</f>
        <v/>
      </c>
    </row>
    <row r="128">
      <c r="A128" s="10" t="n"/>
      <c r="B128" s="10" t="n"/>
      <c r="C128" s="10" t="n"/>
      <c r="D128" s="10" t="n"/>
      <c r="E128" s="19" t="n"/>
      <c r="F128" s="19" t="n"/>
      <c r="G128" s="8" t="n"/>
      <c r="H128" s="10" t="n"/>
      <c r="I128" s="10" t="n"/>
      <c r="J128" s="19" t="n"/>
      <c r="K128" s="19" t="n"/>
      <c r="L128" s="10" t="n"/>
      <c r="M128" s="10" t="n"/>
      <c r="N128" s="7">
        <f>IF(OR($F128="",$B128=""),"",$F128-TODAY())</f>
        <v/>
      </c>
      <c r="O128" s="7">
        <f>IF($B128="","",IF(OR($I128="Won",$I128="Lost",$I128="No bid",$I128="Submitted"),"",IF($F128="","No due date",IF($F128&lt;TODAY(),"OVERDUE",IF($F128-TODAY()&lt;=Settings!$B$10,"Due soon","")))))</f>
        <v/>
      </c>
      <c r="P128" s="7">
        <f>IF($B128="","",IF(AND($I128="Submitted",$J128&lt;&gt;"",TODAY()-$J128&gt;Settings!$B$9),"Follow up",""))</f>
        <v/>
      </c>
      <c r="Q128" s="17">
        <f>IF($B128="","",IF((COUNTIFS($D$2:$D$200,$D128,$I$2:$I$200,"Won")+COUNTIFS($D$2:$D$200,$D128,$I$2:$I$200,"Lost"))&gt;=Settings!$B$7,COUNTIFS($D$2:$D$200,$D128,$I$2:$I$200,"Won")/(COUNTIFS($D$2:$D$200,$D128,$I$2:$I$200,"Won")+COUNTIFS($D$2:$D$200,$D128,$I$2:$I$200,"Lost")),IF((COUNTIF($I$2:$I$200,"Won")+COUNTIF($I$2:$I$200,"Lost"))&gt;0,COUNTIF($I$2:$I$200,"Won")/(COUNTIF($I$2:$I$200,"Won")+COUNTIF($I$2:$I$200,"Lost")),Settings!$B$6)))</f>
        <v/>
      </c>
      <c r="R128" s="18">
        <f>IF(OR($B128="",$G128=""),"",$G128*$Q128)</f>
        <v/>
      </c>
      <c r="S128" s="18">
        <f>IF(OR($B128="",$H128=""),"",$H128*Settings!$B$4)</f>
        <v/>
      </c>
      <c r="T128" s="18">
        <f>IF(OR($B128="",$H128="",$H128=0,$G128=""),"",$R128/$H128)</f>
        <v/>
      </c>
      <c r="U128" s="11">
        <f>IF($B128="","",IF($T128="","Add value and hours",IF($T128&gt;=Settings!$B$4*Settings!$B$8,"Worth it",IF($T128&gt;=Settings!$B$4,"Thin","Skip?"))))</f>
        <v/>
      </c>
    </row>
    <row r="129">
      <c r="A129" s="10" t="n"/>
      <c r="B129" s="10" t="n"/>
      <c r="C129" s="10" t="n"/>
      <c r="D129" s="10" t="n"/>
      <c r="E129" s="19" t="n"/>
      <c r="F129" s="19" t="n"/>
      <c r="G129" s="8" t="n"/>
      <c r="H129" s="10" t="n"/>
      <c r="I129" s="10" t="n"/>
      <c r="J129" s="19" t="n"/>
      <c r="K129" s="19" t="n"/>
      <c r="L129" s="10" t="n"/>
      <c r="M129" s="10" t="n"/>
      <c r="N129" s="7">
        <f>IF(OR($F129="",$B129=""),"",$F129-TODAY())</f>
        <v/>
      </c>
      <c r="O129" s="7">
        <f>IF($B129="","",IF(OR($I129="Won",$I129="Lost",$I129="No bid",$I129="Submitted"),"",IF($F129="","No due date",IF($F129&lt;TODAY(),"OVERDUE",IF($F129-TODAY()&lt;=Settings!$B$10,"Due soon","")))))</f>
        <v/>
      </c>
      <c r="P129" s="7">
        <f>IF($B129="","",IF(AND($I129="Submitted",$J129&lt;&gt;"",TODAY()-$J129&gt;Settings!$B$9),"Follow up",""))</f>
        <v/>
      </c>
      <c r="Q129" s="17">
        <f>IF($B129="","",IF((COUNTIFS($D$2:$D$200,$D129,$I$2:$I$200,"Won")+COUNTIFS($D$2:$D$200,$D129,$I$2:$I$200,"Lost"))&gt;=Settings!$B$7,COUNTIFS($D$2:$D$200,$D129,$I$2:$I$200,"Won")/(COUNTIFS($D$2:$D$200,$D129,$I$2:$I$200,"Won")+COUNTIFS($D$2:$D$200,$D129,$I$2:$I$200,"Lost")),IF((COUNTIF($I$2:$I$200,"Won")+COUNTIF($I$2:$I$200,"Lost"))&gt;0,COUNTIF($I$2:$I$200,"Won")/(COUNTIF($I$2:$I$200,"Won")+COUNTIF($I$2:$I$200,"Lost")),Settings!$B$6)))</f>
        <v/>
      </c>
      <c r="R129" s="18">
        <f>IF(OR($B129="",$G129=""),"",$G129*$Q129)</f>
        <v/>
      </c>
      <c r="S129" s="18">
        <f>IF(OR($B129="",$H129=""),"",$H129*Settings!$B$4)</f>
        <v/>
      </c>
      <c r="T129" s="18">
        <f>IF(OR($B129="",$H129="",$H129=0,$G129=""),"",$R129/$H129)</f>
        <v/>
      </c>
      <c r="U129" s="11">
        <f>IF($B129="","",IF($T129="","Add value and hours",IF($T129&gt;=Settings!$B$4*Settings!$B$8,"Worth it",IF($T129&gt;=Settings!$B$4,"Thin","Skip?"))))</f>
        <v/>
      </c>
    </row>
    <row r="130">
      <c r="A130" s="10" t="n"/>
      <c r="B130" s="10" t="n"/>
      <c r="C130" s="10" t="n"/>
      <c r="D130" s="10" t="n"/>
      <c r="E130" s="19" t="n"/>
      <c r="F130" s="19" t="n"/>
      <c r="G130" s="8" t="n"/>
      <c r="H130" s="10" t="n"/>
      <c r="I130" s="10" t="n"/>
      <c r="J130" s="19" t="n"/>
      <c r="K130" s="19" t="n"/>
      <c r="L130" s="10" t="n"/>
      <c r="M130" s="10" t="n"/>
      <c r="N130" s="7">
        <f>IF(OR($F130="",$B130=""),"",$F130-TODAY())</f>
        <v/>
      </c>
      <c r="O130" s="7">
        <f>IF($B130="","",IF(OR($I130="Won",$I130="Lost",$I130="No bid",$I130="Submitted"),"",IF($F130="","No due date",IF($F130&lt;TODAY(),"OVERDUE",IF($F130-TODAY()&lt;=Settings!$B$10,"Due soon","")))))</f>
        <v/>
      </c>
      <c r="P130" s="7">
        <f>IF($B130="","",IF(AND($I130="Submitted",$J130&lt;&gt;"",TODAY()-$J130&gt;Settings!$B$9),"Follow up",""))</f>
        <v/>
      </c>
      <c r="Q130" s="17">
        <f>IF($B130="","",IF((COUNTIFS($D$2:$D$200,$D130,$I$2:$I$200,"Won")+COUNTIFS($D$2:$D$200,$D130,$I$2:$I$200,"Lost"))&gt;=Settings!$B$7,COUNTIFS($D$2:$D$200,$D130,$I$2:$I$200,"Won")/(COUNTIFS($D$2:$D$200,$D130,$I$2:$I$200,"Won")+COUNTIFS($D$2:$D$200,$D130,$I$2:$I$200,"Lost")),IF((COUNTIF($I$2:$I$200,"Won")+COUNTIF($I$2:$I$200,"Lost"))&gt;0,COUNTIF($I$2:$I$200,"Won")/(COUNTIF($I$2:$I$200,"Won")+COUNTIF($I$2:$I$200,"Lost")),Settings!$B$6)))</f>
        <v/>
      </c>
      <c r="R130" s="18">
        <f>IF(OR($B130="",$G130=""),"",$G130*$Q130)</f>
        <v/>
      </c>
      <c r="S130" s="18">
        <f>IF(OR($B130="",$H130=""),"",$H130*Settings!$B$4)</f>
        <v/>
      </c>
      <c r="T130" s="18">
        <f>IF(OR($B130="",$H130="",$H130=0,$G130=""),"",$R130/$H130)</f>
        <v/>
      </c>
      <c r="U130" s="11">
        <f>IF($B130="","",IF($T130="","Add value and hours",IF($T130&gt;=Settings!$B$4*Settings!$B$8,"Worth it",IF($T130&gt;=Settings!$B$4,"Thin","Skip?"))))</f>
        <v/>
      </c>
    </row>
    <row r="131">
      <c r="A131" s="10" t="n"/>
      <c r="B131" s="10" t="n"/>
      <c r="C131" s="10" t="n"/>
      <c r="D131" s="10" t="n"/>
      <c r="E131" s="19" t="n"/>
      <c r="F131" s="19" t="n"/>
      <c r="G131" s="8" t="n"/>
      <c r="H131" s="10" t="n"/>
      <c r="I131" s="10" t="n"/>
      <c r="J131" s="19" t="n"/>
      <c r="K131" s="19" t="n"/>
      <c r="L131" s="10" t="n"/>
      <c r="M131" s="10" t="n"/>
      <c r="N131" s="7">
        <f>IF(OR($F131="",$B131=""),"",$F131-TODAY())</f>
        <v/>
      </c>
      <c r="O131" s="7">
        <f>IF($B131="","",IF(OR($I131="Won",$I131="Lost",$I131="No bid",$I131="Submitted"),"",IF($F131="","No due date",IF($F131&lt;TODAY(),"OVERDUE",IF($F131-TODAY()&lt;=Settings!$B$10,"Due soon","")))))</f>
        <v/>
      </c>
      <c r="P131" s="7">
        <f>IF($B131="","",IF(AND($I131="Submitted",$J131&lt;&gt;"",TODAY()-$J131&gt;Settings!$B$9),"Follow up",""))</f>
        <v/>
      </c>
      <c r="Q131" s="17">
        <f>IF($B131="","",IF((COUNTIFS($D$2:$D$200,$D131,$I$2:$I$200,"Won")+COUNTIFS($D$2:$D$200,$D131,$I$2:$I$200,"Lost"))&gt;=Settings!$B$7,COUNTIFS($D$2:$D$200,$D131,$I$2:$I$200,"Won")/(COUNTIFS($D$2:$D$200,$D131,$I$2:$I$200,"Won")+COUNTIFS($D$2:$D$200,$D131,$I$2:$I$200,"Lost")),IF((COUNTIF($I$2:$I$200,"Won")+COUNTIF($I$2:$I$200,"Lost"))&gt;0,COUNTIF($I$2:$I$200,"Won")/(COUNTIF($I$2:$I$200,"Won")+COUNTIF($I$2:$I$200,"Lost")),Settings!$B$6)))</f>
        <v/>
      </c>
      <c r="R131" s="18">
        <f>IF(OR($B131="",$G131=""),"",$G131*$Q131)</f>
        <v/>
      </c>
      <c r="S131" s="18">
        <f>IF(OR($B131="",$H131=""),"",$H131*Settings!$B$4)</f>
        <v/>
      </c>
      <c r="T131" s="18">
        <f>IF(OR($B131="",$H131="",$H131=0,$G131=""),"",$R131/$H131)</f>
        <v/>
      </c>
      <c r="U131" s="11">
        <f>IF($B131="","",IF($T131="","Add value and hours",IF($T131&gt;=Settings!$B$4*Settings!$B$8,"Worth it",IF($T131&gt;=Settings!$B$4,"Thin","Skip?"))))</f>
        <v/>
      </c>
    </row>
    <row r="132">
      <c r="A132" s="10" t="n"/>
      <c r="B132" s="10" t="n"/>
      <c r="C132" s="10" t="n"/>
      <c r="D132" s="10" t="n"/>
      <c r="E132" s="19" t="n"/>
      <c r="F132" s="19" t="n"/>
      <c r="G132" s="8" t="n"/>
      <c r="H132" s="10" t="n"/>
      <c r="I132" s="10" t="n"/>
      <c r="J132" s="19" t="n"/>
      <c r="K132" s="19" t="n"/>
      <c r="L132" s="10" t="n"/>
      <c r="M132" s="10" t="n"/>
      <c r="N132" s="7">
        <f>IF(OR($F132="",$B132=""),"",$F132-TODAY())</f>
        <v/>
      </c>
      <c r="O132" s="7">
        <f>IF($B132="","",IF(OR($I132="Won",$I132="Lost",$I132="No bid",$I132="Submitted"),"",IF($F132="","No due date",IF($F132&lt;TODAY(),"OVERDUE",IF($F132-TODAY()&lt;=Settings!$B$10,"Due soon","")))))</f>
        <v/>
      </c>
      <c r="P132" s="7">
        <f>IF($B132="","",IF(AND($I132="Submitted",$J132&lt;&gt;"",TODAY()-$J132&gt;Settings!$B$9),"Follow up",""))</f>
        <v/>
      </c>
      <c r="Q132" s="17">
        <f>IF($B132="","",IF((COUNTIFS($D$2:$D$200,$D132,$I$2:$I$200,"Won")+COUNTIFS($D$2:$D$200,$D132,$I$2:$I$200,"Lost"))&gt;=Settings!$B$7,COUNTIFS($D$2:$D$200,$D132,$I$2:$I$200,"Won")/(COUNTIFS($D$2:$D$200,$D132,$I$2:$I$200,"Won")+COUNTIFS($D$2:$D$200,$D132,$I$2:$I$200,"Lost")),IF((COUNTIF($I$2:$I$200,"Won")+COUNTIF($I$2:$I$200,"Lost"))&gt;0,COUNTIF($I$2:$I$200,"Won")/(COUNTIF($I$2:$I$200,"Won")+COUNTIF($I$2:$I$200,"Lost")),Settings!$B$6)))</f>
        <v/>
      </c>
      <c r="R132" s="18">
        <f>IF(OR($B132="",$G132=""),"",$G132*$Q132)</f>
        <v/>
      </c>
      <c r="S132" s="18">
        <f>IF(OR($B132="",$H132=""),"",$H132*Settings!$B$4)</f>
        <v/>
      </c>
      <c r="T132" s="18">
        <f>IF(OR($B132="",$H132="",$H132=0,$G132=""),"",$R132/$H132)</f>
        <v/>
      </c>
      <c r="U132" s="11">
        <f>IF($B132="","",IF($T132="","Add value and hours",IF($T132&gt;=Settings!$B$4*Settings!$B$8,"Worth it",IF($T132&gt;=Settings!$B$4,"Thin","Skip?"))))</f>
        <v/>
      </c>
    </row>
    <row r="133">
      <c r="A133" s="10" t="n"/>
      <c r="B133" s="10" t="n"/>
      <c r="C133" s="10" t="n"/>
      <c r="D133" s="10" t="n"/>
      <c r="E133" s="19" t="n"/>
      <c r="F133" s="19" t="n"/>
      <c r="G133" s="8" t="n"/>
      <c r="H133" s="10" t="n"/>
      <c r="I133" s="10" t="n"/>
      <c r="J133" s="19" t="n"/>
      <c r="K133" s="19" t="n"/>
      <c r="L133" s="10" t="n"/>
      <c r="M133" s="10" t="n"/>
      <c r="N133" s="7">
        <f>IF(OR($F133="",$B133=""),"",$F133-TODAY())</f>
        <v/>
      </c>
      <c r="O133" s="7">
        <f>IF($B133="","",IF(OR($I133="Won",$I133="Lost",$I133="No bid",$I133="Submitted"),"",IF($F133="","No due date",IF($F133&lt;TODAY(),"OVERDUE",IF($F133-TODAY()&lt;=Settings!$B$10,"Due soon","")))))</f>
        <v/>
      </c>
      <c r="P133" s="7">
        <f>IF($B133="","",IF(AND($I133="Submitted",$J133&lt;&gt;"",TODAY()-$J133&gt;Settings!$B$9),"Follow up",""))</f>
        <v/>
      </c>
      <c r="Q133" s="17">
        <f>IF($B133="","",IF((COUNTIFS($D$2:$D$200,$D133,$I$2:$I$200,"Won")+COUNTIFS($D$2:$D$200,$D133,$I$2:$I$200,"Lost"))&gt;=Settings!$B$7,COUNTIFS($D$2:$D$200,$D133,$I$2:$I$200,"Won")/(COUNTIFS($D$2:$D$200,$D133,$I$2:$I$200,"Won")+COUNTIFS($D$2:$D$200,$D133,$I$2:$I$200,"Lost")),IF((COUNTIF($I$2:$I$200,"Won")+COUNTIF($I$2:$I$200,"Lost"))&gt;0,COUNTIF($I$2:$I$200,"Won")/(COUNTIF($I$2:$I$200,"Won")+COUNTIF($I$2:$I$200,"Lost")),Settings!$B$6)))</f>
        <v/>
      </c>
      <c r="R133" s="18">
        <f>IF(OR($B133="",$G133=""),"",$G133*$Q133)</f>
        <v/>
      </c>
      <c r="S133" s="18">
        <f>IF(OR($B133="",$H133=""),"",$H133*Settings!$B$4)</f>
        <v/>
      </c>
      <c r="T133" s="18">
        <f>IF(OR($B133="",$H133="",$H133=0,$G133=""),"",$R133/$H133)</f>
        <v/>
      </c>
      <c r="U133" s="11">
        <f>IF($B133="","",IF($T133="","Add value and hours",IF($T133&gt;=Settings!$B$4*Settings!$B$8,"Worth it",IF($T133&gt;=Settings!$B$4,"Thin","Skip?"))))</f>
        <v/>
      </c>
    </row>
    <row r="134">
      <c r="A134" s="10" t="n"/>
      <c r="B134" s="10" t="n"/>
      <c r="C134" s="10" t="n"/>
      <c r="D134" s="10" t="n"/>
      <c r="E134" s="19" t="n"/>
      <c r="F134" s="19" t="n"/>
      <c r="G134" s="8" t="n"/>
      <c r="H134" s="10" t="n"/>
      <c r="I134" s="10" t="n"/>
      <c r="J134" s="19" t="n"/>
      <c r="K134" s="19" t="n"/>
      <c r="L134" s="10" t="n"/>
      <c r="M134" s="10" t="n"/>
      <c r="N134" s="7">
        <f>IF(OR($F134="",$B134=""),"",$F134-TODAY())</f>
        <v/>
      </c>
      <c r="O134" s="7">
        <f>IF($B134="","",IF(OR($I134="Won",$I134="Lost",$I134="No bid",$I134="Submitted"),"",IF($F134="","No due date",IF($F134&lt;TODAY(),"OVERDUE",IF($F134-TODAY()&lt;=Settings!$B$10,"Due soon","")))))</f>
        <v/>
      </c>
      <c r="P134" s="7">
        <f>IF($B134="","",IF(AND($I134="Submitted",$J134&lt;&gt;"",TODAY()-$J134&gt;Settings!$B$9),"Follow up",""))</f>
        <v/>
      </c>
      <c r="Q134" s="17">
        <f>IF($B134="","",IF((COUNTIFS($D$2:$D$200,$D134,$I$2:$I$200,"Won")+COUNTIFS($D$2:$D$200,$D134,$I$2:$I$200,"Lost"))&gt;=Settings!$B$7,COUNTIFS($D$2:$D$200,$D134,$I$2:$I$200,"Won")/(COUNTIFS($D$2:$D$200,$D134,$I$2:$I$200,"Won")+COUNTIFS($D$2:$D$200,$D134,$I$2:$I$200,"Lost")),IF((COUNTIF($I$2:$I$200,"Won")+COUNTIF($I$2:$I$200,"Lost"))&gt;0,COUNTIF($I$2:$I$200,"Won")/(COUNTIF($I$2:$I$200,"Won")+COUNTIF($I$2:$I$200,"Lost")),Settings!$B$6)))</f>
        <v/>
      </c>
      <c r="R134" s="18">
        <f>IF(OR($B134="",$G134=""),"",$G134*$Q134)</f>
        <v/>
      </c>
      <c r="S134" s="18">
        <f>IF(OR($B134="",$H134=""),"",$H134*Settings!$B$4)</f>
        <v/>
      </c>
      <c r="T134" s="18">
        <f>IF(OR($B134="",$H134="",$H134=0,$G134=""),"",$R134/$H134)</f>
        <v/>
      </c>
      <c r="U134" s="11">
        <f>IF($B134="","",IF($T134="","Add value and hours",IF($T134&gt;=Settings!$B$4*Settings!$B$8,"Worth it",IF($T134&gt;=Settings!$B$4,"Thin","Skip?"))))</f>
        <v/>
      </c>
    </row>
    <row r="135">
      <c r="A135" s="10" t="n"/>
      <c r="B135" s="10" t="n"/>
      <c r="C135" s="10" t="n"/>
      <c r="D135" s="10" t="n"/>
      <c r="E135" s="19" t="n"/>
      <c r="F135" s="19" t="n"/>
      <c r="G135" s="8" t="n"/>
      <c r="H135" s="10" t="n"/>
      <c r="I135" s="10" t="n"/>
      <c r="J135" s="19" t="n"/>
      <c r="K135" s="19" t="n"/>
      <c r="L135" s="10" t="n"/>
      <c r="M135" s="10" t="n"/>
      <c r="N135" s="7">
        <f>IF(OR($F135="",$B135=""),"",$F135-TODAY())</f>
        <v/>
      </c>
      <c r="O135" s="7">
        <f>IF($B135="","",IF(OR($I135="Won",$I135="Lost",$I135="No bid",$I135="Submitted"),"",IF($F135="","No due date",IF($F135&lt;TODAY(),"OVERDUE",IF($F135-TODAY()&lt;=Settings!$B$10,"Due soon","")))))</f>
        <v/>
      </c>
      <c r="P135" s="7">
        <f>IF($B135="","",IF(AND($I135="Submitted",$J135&lt;&gt;"",TODAY()-$J135&gt;Settings!$B$9),"Follow up",""))</f>
        <v/>
      </c>
      <c r="Q135" s="17">
        <f>IF($B135="","",IF((COUNTIFS($D$2:$D$200,$D135,$I$2:$I$200,"Won")+COUNTIFS($D$2:$D$200,$D135,$I$2:$I$200,"Lost"))&gt;=Settings!$B$7,COUNTIFS($D$2:$D$200,$D135,$I$2:$I$200,"Won")/(COUNTIFS($D$2:$D$200,$D135,$I$2:$I$200,"Won")+COUNTIFS($D$2:$D$200,$D135,$I$2:$I$200,"Lost")),IF((COUNTIF($I$2:$I$200,"Won")+COUNTIF($I$2:$I$200,"Lost"))&gt;0,COUNTIF($I$2:$I$200,"Won")/(COUNTIF($I$2:$I$200,"Won")+COUNTIF($I$2:$I$200,"Lost")),Settings!$B$6)))</f>
        <v/>
      </c>
      <c r="R135" s="18">
        <f>IF(OR($B135="",$G135=""),"",$G135*$Q135)</f>
        <v/>
      </c>
      <c r="S135" s="18">
        <f>IF(OR($B135="",$H135=""),"",$H135*Settings!$B$4)</f>
        <v/>
      </c>
      <c r="T135" s="18">
        <f>IF(OR($B135="",$H135="",$H135=0,$G135=""),"",$R135/$H135)</f>
        <v/>
      </c>
      <c r="U135" s="11">
        <f>IF($B135="","",IF($T135="","Add value and hours",IF($T135&gt;=Settings!$B$4*Settings!$B$8,"Worth it",IF($T135&gt;=Settings!$B$4,"Thin","Skip?"))))</f>
        <v/>
      </c>
    </row>
    <row r="136">
      <c r="A136" s="10" t="n"/>
      <c r="B136" s="10" t="n"/>
      <c r="C136" s="10" t="n"/>
      <c r="D136" s="10" t="n"/>
      <c r="E136" s="19" t="n"/>
      <c r="F136" s="19" t="n"/>
      <c r="G136" s="8" t="n"/>
      <c r="H136" s="10" t="n"/>
      <c r="I136" s="10" t="n"/>
      <c r="J136" s="19" t="n"/>
      <c r="K136" s="19" t="n"/>
      <c r="L136" s="10" t="n"/>
      <c r="M136" s="10" t="n"/>
      <c r="N136" s="7">
        <f>IF(OR($F136="",$B136=""),"",$F136-TODAY())</f>
        <v/>
      </c>
      <c r="O136" s="7">
        <f>IF($B136="","",IF(OR($I136="Won",$I136="Lost",$I136="No bid",$I136="Submitted"),"",IF($F136="","No due date",IF($F136&lt;TODAY(),"OVERDUE",IF($F136-TODAY()&lt;=Settings!$B$10,"Due soon","")))))</f>
        <v/>
      </c>
      <c r="P136" s="7">
        <f>IF($B136="","",IF(AND($I136="Submitted",$J136&lt;&gt;"",TODAY()-$J136&gt;Settings!$B$9),"Follow up",""))</f>
        <v/>
      </c>
      <c r="Q136" s="17">
        <f>IF($B136="","",IF((COUNTIFS($D$2:$D$200,$D136,$I$2:$I$200,"Won")+COUNTIFS($D$2:$D$200,$D136,$I$2:$I$200,"Lost"))&gt;=Settings!$B$7,COUNTIFS($D$2:$D$200,$D136,$I$2:$I$200,"Won")/(COUNTIFS($D$2:$D$200,$D136,$I$2:$I$200,"Won")+COUNTIFS($D$2:$D$200,$D136,$I$2:$I$200,"Lost")),IF((COUNTIF($I$2:$I$200,"Won")+COUNTIF($I$2:$I$200,"Lost"))&gt;0,COUNTIF($I$2:$I$200,"Won")/(COUNTIF($I$2:$I$200,"Won")+COUNTIF($I$2:$I$200,"Lost")),Settings!$B$6)))</f>
        <v/>
      </c>
      <c r="R136" s="18">
        <f>IF(OR($B136="",$G136=""),"",$G136*$Q136)</f>
        <v/>
      </c>
      <c r="S136" s="18">
        <f>IF(OR($B136="",$H136=""),"",$H136*Settings!$B$4)</f>
        <v/>
      </c>
      <c r="T136" s="18">
        <f>IF(OR($B136="",$H136="",$H136=0,$G136=""),"",$R136/$H136)</f>
        <v/>
      </c>
      <c r="U136" s="11">
        <f>IF($B136="","",IF($T136="","Add value and hours",IF($T136&gt;=Settings!$B$4*Settings!$B$8,"Worth it",IF($T136&gt;=Settings!$B$4,"Thin","Skip?"))))</f>
        <v/>
      </c>
    </row>
    <row r="137">
      <c r="A137" s="10" t="n"/>
      <c r="B137" s="10" t="n"/>
      <c r="C137" s="10" t="n"/>
      <c r="D137" s="10" t="n"/>
      <c r="E137" s="19" t="n"/>
      <c r="F137" s="19" t="n"/>
      <c r="G137" s="8" t="n"/>
      <c r="H137" s="10" t="n"/>
      <c r="I137" s="10" t="n"/>
      <c r="J137" s="19" t="n"/>
      <c r="K137" s="19" t="n"/>
      <c r="L137" s="10" t="n"/>
      <c r="M137" s="10" t="n"/>
      <c r="N137" s="7">
        <f>IF(OR($F137="",$B137=""),"",$F137-TODAY())</f>
        <v/>
      </c>
      <c r="O137" s="7">
        <f>IF($B137="","",IF(OR($I137="Won",$I137="Lost",$I137="No bid",$I137="Submitted"),"",IF($F137="","No due date",IF($F137&lt;TODAY(),"OVERDUE",IF($F137-TODAY()&lt;=Settings!$B$10,"Due soon","")))))</f>
        <v/>
      </c>
      <c r="P137" s="7">
        <f>IF($B137="","",IF(AND($I137="Submitted",$J137&lt;&gt;"",TODAY()-$J137&gt;Settings!$B$9),"Follow up",""))</f>
        <v/>
      </c>
      <c r="Q137" s="17">
        <f>IF($B137="","",IF((COUNTIFS($D$2:$D$200,$D137,$I$2:$I$200,"Won")+COUNTIFS($D$2:$D$200,$D137,$I$2:$I$200,"Lost"))&gt;=Settings!$B$7,COUNTIFS($D$2:$D$200,$D137,$I$2:$I$200,"Won")/(COUNTIFS($D$2:$D$200,$D137,$I$2:$I$200,"Won")+COUNTIFS($D$2:$D$200,$D137,$I$2:$I$200,"Lost")),IF((COUNTIF($I$2:$I$200,"Won")+COUNTIF($I$2:$I$200,"Lost"))&gt;0,COUNTIF($I$2:$I$200,"Won")/(COUNTIF($I$2:$I$200,"Won")+COUNTIF($I$2:$I$200,"Lost")),Settings!$B$6)))</f>
        <v/>
      </c>
      <c r="R137" s="18">
        <f>IF(OR($B137="",$G137=""),"",$G137*$Q137)</f>
        <v/>
      </c>
      <c r="S137" s="18">
        <f>IF(OR($B137="",$H137=""),"",$H137*Settings!$B$4)</f>
        <v/>
      </c>
      <c r="T137" s="18">
        <f>IF(OR($B137="",$H137="",$H137=0,$G137=""),"",$R137/$H137)</f>
        <v/>
      </c>
      <c r="U137" s="11">
        <f>IF($B137="","",IF($T137="","Add value and hours",IF($T137&gt;=Settings!$B$4*Settings!$B$8,"Worth it",IF($T137&gt;=Settings!$B$4,"Thin","Skip?"))))</f>
        <v/>
      </c>
    </row>
    <row r="138">
      <c r="A138" s="10" t="n"/>
      <c r="B138" s="10" t="n"/>
      <c r="C138" s="10" t="n"/>
      <c r="D138" s="10" t="n"/>
      <c r="E138" s="19" t="n"/>
      <c r="F138" s="19" t="n"/>
      <c r="G138" s="8" t="n"/>
      <c r="H138" s="10" t="n"/>
      <c r="I138" s="10" t="n"/>
      <c r="J138" s="19" t="n"/>
      <c r="K138" s="19" t="n"/>
      <c r="L138" s="10" t="n"/>
      <c r="M138" s="10" t="n"/>
      <c r="N138" s="7">
        <f>IF(OR($F138="",$B138=""),"",$F138-TODAY())</f>
        <v/>
      </c>
      <c r="O138" s="7">
        <f>IF($B138="","",IF(OR($I138="Won",$I138="Lost",$I138="No bid",$I138="Submitted"),"",IF($F138="","No due date",IF($F138&lt;TODAY(),"OVERDUE",IF($F138-TODAY()&lt;=Settings!$B$10,"Due soon","")))))</f>
        <v/>
      </c>
      <c r="P138" s="7">
        <f>IF($B138="","",IF(AND($I138="Submitted",$J138&lt;&gt;"",TODAY()-$J138&gt;Settings!$B$9),"Follow up",""))</f>
        <v/>
      </c>
      <c r="Q138" s="17">
        <f>IF($B138="","",IF((COUNTIFS($D$2:$D$200,$D138,$I$2:$I$200,"Won")+COUNTIFS($D$2:$D$200,$D138,$I$2:$I$200,"Lost"))&gt;=Settings!$B$7,COUNTIFS($D$2:$D$200,$D138,$I$2:$I$200,"Won")/(COUNTIFS($D$2:$D$200,$D138,$I$2:$I$200,"Won")+COUNTIFS($D$2:$D$200,$D138,$I$2:$I$200,"Lost")),IF((COUNTIF($I$2:$I$200,"Won")+COUNTIF($I$2:$I$200,"Lost"))&gt;0,COUNTIF($I$2:$I$200,"Won")/(COUNTIF($I$2:$I$200,"Won")+COUNTIF($I$2:$I$200,"Lost")),Settings!$B$6)))</f>
        <v/>
      </c>
      <c r="R138" s="18">
        <f>IF(OR($B138="",$G138=""),"",$G138*$Q138)</f>
        <v/>
      </c>
      <c r="S138" s="18">
        <f>IF(OR($B138="",$H138=""),"",$H138*Settings!$B$4)</f>
        <v/>
      </c>
      <c r="T138" s="18">
        <f>IF(OR($B138="",$H138="",$H138=0,$G138=""),"",$R138/$H138)</f>
        <v/>
      </c>
      <c r="U138" s="11">
        <f>IF($B138="","",IF($T138="","Add value and hours",IF($T138&gt;=Settings!$B$4*Settings!$B$8,"Worth it",IF($T138&gt;=Settings!$B$4,"Thin","Skip?"))))</f>
        <v/>
      </c>
    </row>
    <row r="139">
      <c r="A139" s="10" t="n"/>
      <c r="B139" s="10" t="n"/>
      <c r="C139" s="10" t="n"/>
      <c r="D139" s="10" t="n"/>
      <c r="E139" s="19" t="n"/>
      <c r="F139" s="19" t="n"/>
      <c r="G139" s="8" t="n"/>
      <c r="H139" s="10" t="n"/>
      <c r="I139" s="10" t="n"/>
      <c r="J139" s="19" t="n"/>
      <c r="K139" s="19" t="n"/>
      <c r="L139" s="10" t="n"/>
      <c r="M139" s="10" t="n"/>
      <c r="N139" s="7">
        <f>IF(OR($F139="",$B139=""),"",$F139-TODAY())</f>
        <v/>
      </c>
      <c r="O139" s="7">
        <f>IF($B139="","",IF(OR($I139="Won",$I139="Lost",$I139="No bid",$I139="Submitted"),"",IF($F139="","No due date",IF($F139&lt;TODAY(),"OVERDUE",IF($F139-TODAY()&lt;=Settings!$B$10,"Due soon","")))))</f>
        <v/>
      </c>
      <c r="P139" s="7">
        <f>IF($B139="","",IF(AND($I139="Submitted",$J139&lt;&gt;"",TODAY()-$J139&gt;Settings!$B$9),"Follow up",""))</f>
        <v/>
      </c>
      <c r="Q139" s="17">
        <f>IF($B139="","",IF((COUNTIFS($D$2:$D$200,$D139,$I$2:$I$200,"Won")+COUNTIFS($D$2:$D$200,$D139,$I$2:$I$200,"Lost"))&gt;=Settings!$B$7,COUNTIFS($D$2:$D$200,$D139,$I$2:$I$200,"Won")/(COUNTIFS($D$2:$D$200,$D139,$I$2:$I$200,"Won")+COUNTIFS($D$2:$D$200,$D139,$I$2:$I$200,"Lost")),IF((COUNTIF($I$2:$I$200,"Won")+COUNTIF($I$2:$I$200,"Lost"))&gt;0,COUNTIF($I$2:$I$200,"Won")/(COUNTIF($I$2:$I$200,"Won")+COUNTIF($I$2:$I$200,"Lost")),Settings!$B$6)))</f>
        <v/>
      </c>
      <c r="R139" s="18">
        <f>IF(OR($B139="",$G139=""),"",$G139*$Q139)</f>
        <v/>
      </c>
      <c r="S139" s="18">
        <f>IF(OR($B139="",$H139=""),"",$H139*Settings!$B$4)</f>
        <v/>
      </c>
      <c r="T139" s="18">
        <f>IF(OR($B139="",$H139="",$H139=0,$G139=""),"",$R139/$H139)</f>
        <v/>
      </c>
      <c r="U139" s="11">
        <f>IF($B139="","",IF($T139="","Add value and hours",IF($T139&gt;=Settings!$B$4*Settings!$B$8,"Worth it",IF($T139&gt;=Settings!$B$4,"Thin","Skip?"))))</f>
        <v/>
      </c>
    </row>
    <row r="140">
      <c r="A140" s="10" t="n"/>
      <c r="B140" s="10" t="n"/>
      <c r="C140" s="10" t="n"/>
      <c r="D140" s="10" t="n"/>
      <c r="E140" s="19" t="n"/>
      <c r="F140" s="19" t="n"/>
      <c r="G140" s="8" t="n"/>
      <c r="H140" s="10" t="n"/>
      <c r="I140" s="10" t="n"/>
      <c r="J140" s="19" t="n"/>
      <c r="K140" s="19" t="n"/>
      <c r="L140" s="10" t="n"/>
      <c r="M140" s="10" t="n"/>
      <c r="N140" s="7">
        <f>IF(OR($F140="",$B140=""),"",$F140-TODAY())</f>
        <v/>
      </c>
      <c r="O140" s="7">
        <f>IF($B140="","",IF(OR($I140="Won",$I140="Lost",$I140="No bid",$I140="Submitted"),"",IF($F140="","No due date",IF($F140&lt;TODAY(),"OVERDUE",IF($F140-TODAY()&lt;=Settings!$B$10,"Due soon","")))))</f>
        <v/>
      </c>
      <c r="P140" s="7">
        <f>IF($B140="","",IF(AND($I140="Submitted",$J140&lt;&gt;"",TODAY()-$J140&gt;Settings!$B$9),"Follow up",""))</f>
        <v/>
      </c>
      <c r="Q140" s="17">
        <f>IF($B140="","",IF((COUNTIFS($D$2:$D$200,$D140,$I$2:$I$200,"Won")+COUNTIFS($D$2:$D$200,$D140,$I$2:$I$200,"Lost"))&gt;=Settings!$B$7,COUNTIFS($D$2:$D$200,$D140,$I$2:$I$200,"Won")/(COUNTIFS($D$2:$D$200,$D140,$I$2:$I$200,"Won")+COUNTIFS($D$2:$D$200,$D140,$I$2:$I$200,"Lost")),IF((COUNTIF($I$2:$I$200,"Won")+COUNTIF($I$2:$I$200,"Lost"))&gt;0,COUNTIF($I$2:$I$200,"Won")/(COUNTIF($I$2:$I$200,"Won")+COUNTIF($I$2:$I$200,"Lost")),Settings!$B$6)))</f>
        <v/>
      </c>
      <c r="R140" s="18">
        <f>IF(OR($B140="",$G140=""),"",$G140*$Q140)</f>
        <v/>
      </c>
      <c r="S140" s="18">
        <f>IF(OR($B140="",$H140=""),"",$H140*Settings!$B$4)</f>
        <v/>
      </c>
      <c r="T140" s="18">
        <f>IF(OR($B140="",$H140="",$H140=0,$G140=""),"",$R140/$H140)</f>
        <v/>
      </c>
      <c r="U140" s="11">
        <f>IF($B140="","",IF($T140="","Add value and hours",IF($T140&gt;=Settings!$B$4*Settings!$B$8,"Worth it",IF($T140&gt;=Settings!$B$4,"Thin","Skip?"))))</f>
        <v/>
      </c>
    </row>
    <row r="141">
      <c r="A141" s="10" t="n"/>
      <c r="B141" s="10" t="n"/>
      <c r="C141" s="10" t="n"/>
      <c r="D141" s="10" t="n"/>
      <c r="E141" s="19" t="n"/>
      <c r="F141" s="19" t="n"/>
      <c r="G141" s="8" t="n"/>
      <c r="H141" s="10" t="n"/>
      <c r="I141" s="10" t="n"/>
      <c r="J141" s="19" t="n"/>
      <c r="K141" s="19" t="n"/>
      <c r="L141" s="10" t="n"/>
      <c r="M141" s="10" t="n"/>
      <c r="N141" s="7">
        <f>IF(OR($F141="",$B141=""),"",$F141-TODAY())</f>
        <v/>
      </c>
      <c r="O141" s="7">
        <f>IF($B141="","",IF(OR($I141="Won",$I141="Lost",$I141="No bid",$I141="Submitted"),"",IF($F141="","No due date",IF($F141&lt;TODAY(),"OVERDUE",IF($F141-TODAY()&lt;=Settings!$B$10,"Due soon","")))))</f>
        <v/>
      </c>
      <c r="P141" s="7">
        <f>IF($B141="","",IF(AND($I141="Submitted",$J141&lt;&gt;"",TODAY()-$J141&gt;Settings!$B$9),"Follow up",""))</f>
        <v/>
      </c>
      <c r="Q141" s="17">
        <f>IF($B141="","",IF((COUNTIFS($D$2:$D$200,$D141,$I$2:$I$200,"Won")+COUNTIFS($D$2:$D$200,$D141,$I$2:$I$200,"Lost"))&gt;=Settings!$B$7,COUNTIFS($D$2:$D$200,$D141,$I$2:$I$200,"Won")/(COUNTIFS($D$2:$D$200,$D141,$I$2:$I$200,"Won")+COUNTIFS($D$2:$D$200,$D141,$I$2:$I$200,"Lost")),IF((COUNTIF($I$2:$I$200,"Won")+COUNTIF($I$2:$I$200,"Lost"))&gt;0,COUNTIF($I$2:$I$200,"Won")/(COUNTIF($I$2:$I$200,"Won")+COUNTIF($I$2:$I$200,"Lost")),Settings!$B$6)))</f>
        <v/>
      </c>
      <c r="R141" s="18">
        <f>IF(OR($B141="",$G141=""),"",$G141*$Q141)</f>
        <v/>
      </c>
      <c r="S141" s="18">
        <f>IF(OR($B141="",$H141=""),"",$H141*Settings!$B$4)</f>
        <v/>
      </c>
      <c r="T141" s="18">
        <f>IF(OR($B141="",$H141="",$H141=0,$G141=""),"",$R141/$H141)</f>
        <v/>
      </c>
      <c r="U141" s="11">
        <f>IF($B141="","",IF($T141="","Add value and hours",IF($T141&gt;=Settings!$B$4*Settings!$B$8,"Worth it",IF($T141&gt;=Settings!$B$4,"Thin","Skip?"))))</f>
        <v/>
      </c>
    </row>
    <row r="142">
      <c r="A142" s="10" t="n"/>
      <c r="B142" s="10" t="n"/>
      <c r="C142" s="10" t="n"/>
      <c r="D142" s="10" t="n"/>
      <c r="E142" s="19" t="n"/>
      <c r="F142" s="19" t="n"/>
      <c r="G142" s="8" t="n"/>
      <c r="H142" s="10" t="n"/>
      <c r="I142" s="10" t="n"/>
      <c r="J142" s="19" t="n"/>
      <c r="K142" s="19" t="n"/>
      <c r="L142" s="10" t="n"/>
      <c r="M142" s="10" t="n"/>
      <c r="N142" s="7">
        <f>IF(OR($F142="",$B142=""),"",$F142-TODAY())</f>
        <v/>
      </c>
      <c r="O142" s="7">
        <f>IF($B142="","",IF(OR($I142="Won",$I142="Lost",$I142="No bid",$I142="Submitted"),"",IF($F142="","No due date",IF($F142&lt;TODAY(),"OVERDUE",IF($F142-TODAY()&lt;=Settings!$B$10,"Due soon","")))))</f>
        <v/>
      </c>
      <c r="P142" s="7">
        <f>IF($B142="","",IF(AND($I142="Submitted",$J142&lt;&gt;"",TODAY()-$J142&gt;Settings!$B$9),"Follow up",""))</f>
        <v/>
      </c>
      <c r="Q142" s="17">
        <f>IF($B142="","",IF((COUNTIFS($D$2:$D$200,$D142,$I$2:$I$200,"Won")+COUNTIFS($D$2:$D$200,$D142,$I$2:$I$200,"Lost"))&gt;=Settings!$B$7,COUNTIFS($D$2:$D$200,$D142,$I$2:$I$200,"Won")/(COUNTIFS($D$2:$D$200,$D142,$I$2:$I$200,"Won")+COUNTIFS($D$2:$D$200,$D142,$I$2:$I$200,"Lost")),IF((COUNTIF($I$2:$I$200,"Won")+COUNTIF($I$2:$I$200,"Lost"))&gt;0,COUNTIF($I$2:$I$200,"Won")/(COUNTIF($I$2:$I$200,"Won")+COUNTIF($I$2:$I$200,"Lost")),Settings!$B$6)))</f>
        <v/>
      </c>
      <c r="R142" s="18">
        <f>IF(OR($B142="",$G142=""),"",$G142*$Q142)</f>
        <v/>
      </c>
      <c r="S142" s="18">
        <f>IF(OR($B142="",$H142=""),"",$H142*Settings!$B$4)</f>
        <v/>
      </c>
      <c r="T142" s="18">
        <f>IF(OR($B142="",$H142="",$H142=0,$G142=""),"",$R142/$H142)</f>
        <v/>
      </c>
      <c r="U142" s="11">
        <f>IF($B142="","",IF($T142="","Add value and hours",IF($T142&gt;=Settings!$B$4*Settings!$B$8,"Worth it",IF($T142&gt;=Settings!$B$4,"Thin","Skip?"))))</f>
        <v/>
      </c>
    </row>
    <row r="143">
      <c r="A143" s="10" t="n"/>
      <c r="B143" s="10" t="n"/>
      <c r="C143" s="10" t="n"/>
      <c r="D143" s="10" t="n"/>
      <c r="E143" s="19" t="n"/>
      <c r="F143" s="19" t="n"/>
      <c r="G143" s="8" t="n"/>
      <c r="H143" s="10" t="n"/>
      <c r="I143" s="10" t="n"/>
      <c r="J143" s="19" t="n"/>
      <c r="K143" s="19" t="n"/>
      <c r="L143" s="10" t="n"/>
      <c r="M143" s="10" t="n"/>
      <c r="N143" s="7">
        <f>IF(OR($F143="",$B143=""),"",$F143-TODAY())</f>
        <v/>
      </c>
      <c r="O143" s="7">
        <f>IF($B143="","",IF(OR($I143="Won",$I143="Lost",$I143="No bid",$I143="Submitted"),"",IF($F143="","No due date",IF($F143&lt;TODAY(),"OVERDUE",IF($F143-TODAY()&lt;=Settings!$B$10,"Due soon","")))))</f>
        <v/>
      </c>
      <c r="P143" s="7">
        <f>IF($B143="","",IF(AND($I143="Submitted",$J143&lt;&gt;"",TODAY()-$J143&gt;Settings!$B$9),"Follow up",""))</f>
        <v/>
      </c>
      <c r="Q143" s="17">
        <f>IF($B143="","",IF((COUNTIFS($D$2:$D$200,$D143,$I$2:$I$200,"Won")+COUNTIFS($D$2:$D$200,$D143,$I$2:$I$200,"Lost"))&gt;=Settings!$B$7,COUNTIFS($D$2:$D$200,$D143,$I$2:$I$200,"Won")/(COUNTIFS($D$2:$D$200,$D143,$I$2:$I$200,"Won")+COUNTIFS($D$2:$D$200,$D143,$I$2:$I$200,"Lost")),IF((COUNTIF($I$2:$I$200,"Won")+COUNTIF($I$2:$I$200,"Lost"))&gt;0,COUNTIF($I$2:$I$200,"Won")/(COUNTIF($I$2:$I$200,"Won")+COUNTIF($I$2:$I$200,"Lost")),Settings!$B$6)))</f>
        <v/>
      </c>
      <c r="R143" s="18">
        <f>IF(OR($B143="",$G143=""),"",$G143*$Q143)</f>
        <v/>
      </c>
      <c r="S143" s="18">
        <f>IF(OR($B143="",$H143=""),"",$H143*Settings!$B$4)</f>
        <v/>
      </c>
      <c r="T143" s="18">
        <f>IF(OR($B143="",$H143="",$H143=0,$G143=""),"",$R143/$H143)</f>
        <v/>
      </c>
      <c r="U143" s="11">
        <f>IF($B143="","",IF($T143="","Add value and hours",IF($T143&gt;=Settings!$B$4*Settings!$B$8,"Worth it",IF($T143&gt;=Settings!$B$4,"Thin","Skip?"))))</f>
        <v/>
      </c>
    </row>
    <row r="144">
      <c r="A144" s="10" t="n"/>
      <c r="B144" s="10" t="n"/>
      <c r="C144" s="10" t="n"/>
      <c r="D144" s="10" t="n"/>
      <c r="E144" s="19" t="n"/>
      <c r="F144" s="19" t="n"/>
      <c r="G144" s="8" t="n"/>
      <c r="H144" s="10" t="n"/>
      <c r="I144" s="10" t="n"/>
      <c r="J144" s="19" t="n"/>
      <c r="K144" s="19" t="n"/>
      <c r="L144" s="10" t="n"/>
      <c r="M144" s="10" t="n"/>
      <c r="N144" s="7">
        <f>IF(OR($F144="",$B144=""),"",$F144-TODAY())</f>
        <v/>
      </c>
      <c r="O144" s="7">
        <f>IF($B144="","",IF(OR($I144="Won",$I144="Lost",$I144="No bid",$I144="Submitted"),"",IF($F144="","No due date",IF($F144&lt;TODAY(),"OVERDUE",IF($F144-TODAY()&lt;=Settings!$B$10,"Due soon","")))))</f>
        <v/>
      </c>
      <c r="P144" s="7">
        <f>IF($B144="","",IF(AND($I144="Submitted",$J144&lt;&gt;"",TODAY()-$J144&gt;Settings!$B$9),"Follow up",""))</f>
        <v/>
      </c>
      <c r="Q144" s="17">
        <f>IF($B144="","",IF((COUNTIFS($D$2:$D$200,$D144,$I$2:$I$200,"Won")+COUNTIFS($D$2:$D$200,$D144,$I$2:$I$200,"Lost"))&gt;=Settings!$B$7,COUNTIFS($D$2:$D$200,$D144,$I$2:$I$200,"Won")/(COUNTIFS($D$2:$D$200,$D144,$I$2:$I$200,"Won")+COUNTIFS($D$2:$D$200,$D144,$I$2:$I$200,"Lost")),IF((COUNTIF($I$2:$I$200,"Won")+COUNTIF($I$2:$I$200,"Lost"))&gt;0,COUNTIF($I$2:$I$200,"Won")/(COUNTIF($I$2:$I$200,"Won")+COUNTIF($I$2:$I$200,"Lost")),Settings!$B$6)))</f>
        <v/>
      </c>
      <c r="R144" s="18">
        <f>IF(OR($B144="",$G144=""),"",$G144*$Q144)</f>
        <v/>
      </c>
      <c r="S144" s="18">
        <f>IF(OR($B144="",$H144=""),"",$H144*Settings!$B$4)</f>
        <v/>
      </c>
      <c r="T144" s="18">
        <f>IF(OR($B144="",$H144="",$H144=0,$G144=""),"",$R144/$H144)</f>
        <v/>
      </c>
      <c r="U144" s="11">
        <f>IF($B144="","",IF($T144="","Add value and hours",IF($T144&gt;=Settings!$B$4*Settings!$B$8,"Worth it",IF($T144&gt;=Settings!$B$4,"Thin","Skip?"))))</f>
        <v/>
      </c>
    </row>
    <row r="145">
      <c r="A145" s="10" t="n"/>
      <c r="B145" s="10" t="n"/>
      <c r="C145" s="10" t="n"/>
      <c r="D145" s="10" t="n"/>
      <c r="E145" s="19" t="n"/>
      <c r="F145" s="19" t="n"/>
      <c r="G145" s="8" t="n"/>
      <c r="H145" s="10" t="n"/>
      <c r="I145" s="10" t="n"/>
      <c r="J145" s="19" t="n"/>
      <c r="K145" s="19" t="n"/>
      <c r="L145" s="10" t="n"/>
      <c r="M145" s="10" t="n"/>
      <c r="N145" s="7">
        <f>IF(OR($F145="",$B145=""),"",$F145-TODAY())</f>
        <v/>
      </c>
      <c r="O145" s="7">
        <f>IF($B145="","",IF(OR($I145="Won",$I145="Lost",$I145="No bid",$I145="Submitted"),"",IF($F145="","No due date",IF($F145&lt;TODAY(),"OVERDUE",IF($F145-TODAY()&lt;=Settings!$B$10,"Due soon","")))))</f>
        <v/>
      </c>
      <c r="P145" s="7">
        <f>IF($B145="","",IF(AND($I145="Submitted",$J145&lt;&gt;"",TODAY()-$J145&gt;Settings!$B$9),"Follow up",""))</f>
        <v/>
      </c>
      <c r="Q145" s="17">
        <f>IF($B145="","",IF((COUNTIFS($D$2:$D$200,$D145,$I$2:$I$200,"Won")+COUNTIFS($D$2:$D$200,$D145,$I$2:$I$200,"Lost"))&gt;=Settings!$B$7,COUNTIFS($D$2:$D$200,$D145,$I$2:$I$200,"Won")/(COUNTIFS($D$2:$D$200,$D145,$I$2:$I$200,"Won")+COUNTIFS($D$2:$D$200,$D145,$I$2:$I$200,"Lost")),IF((COUNTIF($I$2:$I$200,"Won")+COUNTIF($I$2:$I$200,"Lost"))&gt;0,COUNTIF($I$2:$I$200,"Won")/(COUNTIF($I$2:$I$200,"Won")+COUNTIF($I$2:$I$200,"Lost")),Settings!$B$6)))</f>
        <v/>
      </c>
      <c r="R145" s="18">
        <f>IF(OR($B145="",$G145=""),"",$G145*$Q145)</f>
        <v/>
      </c>
      <c r="S145" s="18">
        <f>IF(OR($B145="",$H145=""),"",$H145*Settings!$B$4)</f>
        <v/>
      </c>
      <c r="T145" s="18">
        <f>IF(OR($B145="",$H145="",$H145=0,$G145=""),"",$R145/$H145)</f>
        <v/>
      </c>
      <c r="U145" s="11">
        <f>IF($B145="","",IF($T145="","Add value and hours",IF($T145&gt;=Settings!$B$4*Settings!$B$8,"Worth it",IF($T145&gt;=Settings!$B$4,"Thin","Skip?"))))</f>
        <v/>
      </c>
    </row>
    <row r="146">
      <c r="A146" s="10" t="n"/>
      <c r="B146" s="10" t="n"/>
      <c r="C146" s="10" t="n"/>
      <c r="D146" s="10" t="n"/>
      <c r="E146" s="19" t="n"/>
      <c r="F146" s="19" t="n"/>
      <c r="G146" s="8" t="n"/>
      <c r="H146" s="10" t="n"/>
      <c r="I146" s="10" t="n"/>
      <c r="J146" s="19" t="n"/>
      <c r="K146" s="19" t="n"/>
      <c r="L146" s="10" t="n"/>
      <c r="M146" s="10" t="n"/>
      <c r="N146" s="7">
        <f>IF(OR($F146="",$B146=""),"",$F146-TODAY())</f>
        <v/>
      </c>
      <c r="O146" s="7">
        <f>IF($B146="","",IF(OR($I146="Won",$I146="Lost",$I146="No bid",$I146="Submitted"),"",IF($F146="","No due date",IF($F146&lt;TODAY(),"OVERDUE",IF($F146-TODAY()&lt;=Settings!$B$10,"Due soon","")))))</f>
        <v/>
      </c>
      <c r="P146" s="7">
        <f>IF($B146="","",IF(AND($I146="Submitted",$J146&lt;&gt;"",TODAY()-$J146&gt;Settings!$B$9),"Follow up",""))</f>
        <v/>
      </c>
      <c r="Q146" s="17">
        <f>IF($B146="","",IF((COUNTIFS($D$2:$D$200,$D146,$I$2:$I$200,"Won")+COUNTIFS($D$2:$D$200,$D146,$I$2:$I$200,"Lost"))&gt;=Settings!$B$7,COUNTIFS($D$2:$D$200,$D146,$I$2:$I$200,"Won")/(COUNTIFS($D$2:$D$200,$D146,$I$2:$I$200,"Won")+COUNTIFS($D$2:$D$200,$D146,$I$2:$I$200,"Lost")),IF((COUNTIF($I$2:$I$200,"Won")+COUNTIF($I$2:$I$200,"Lost"))&gt;0,COUNTIF($I$2:$I$200,"Won")/(COUNTIF($I$2:$I$200,"Won")+COUNTIF($I$2:$I$200,"Lost")),Settings!$B$6)))</f>
        <v/>
      </c>
      <c r="R146" s="18">
        <f>IF(OR($B146="",$G146=""),"",$G146*$Q146)</f>
        <v/>
      </c>
      <c r="S146" s="18">
        <f>IF(OR($B146="",$H146=""),"",$H146*Settings!$B$4)</f>
        <v/>
      </c>
      <c r="T146" s="18">
        <f>IF(OR($B146="",$H146="",$H146=0,$G146=""),"",$R146/$H146)</f>
        <v/>
      </c>
      <c r="U146" s="11">
        <f>IF($B146="","",IF($T146="","Add value and hours",IF($T146&gt;=Settings!$B$4*Settings!$B$8,"Worth it",IF($T146&gt;=Settings!$B$4,"Thin","Skip?"))))</f>
        <v/>
      </c>
    </row>
    <row r="147">
      <c r="A147" s="10" t="n"/>
      <c r="B147" s="10" t="n"/>
      <c r="C147" s="10" t="n"/>
      <c r="D147" s="10" t="n"/>
      <c r="E147" s="19" t="n"/>
      <c r="F147" s="19" t="n"/>
      <c r="G147" s="8" t="n"/>
      <c r="H147" s="10" t="n"/>
      <c r="I147" s="10" t="n"/>
      <c r="J147" s="19" t="n"/>
      <c r="K147" s="19" t="n"/>
      <c r="L147" s="10" t="n"/>
      <c r="M147" s="10" t="n"/>
      <c r="N147" s="7">
        <f>IF(OR($F147="",$B147=""),"",$F147-TODAY())</f>
        <v/>
      </c>
      <c r="O147" s="7">
        <f>IF($B147="","",IF(OR($I147="Won",$I147="Lost",$I147="No bid",$I147="Submitted"),"",IF($F147="","No due date",IF($F147&lt;TODAY(),"OVERDUE",IF($F147-TODAY()&lt;=Settings!$B$10,"Due soon","")))))</f>
        <v/>
      </c>
      <c r="P147" s="7">
        <f>IF($B147="","",IF(AND($I147="Submitted",$J147&lt;&gt;"",TODAY()-$J147&gt;Settings!$B$9),"Follow up",""))</f>
        <v/>
      </c>
      <c r="Q147" s="17">
        <f>IF($B147="","",IF((COUNTIFS($D$2:$D$200,$D147,$I$2:$I$200,"Won")+COUNTIFS($D$2:$D$200,$D147,$I$2:$I$200,"Lost"))&gt;=Settings!$B$7,COUNTIFS($D$2:$D$200,$D147,$I$2:$I$200,"Won")/(COUNTIFS($D$2:$D$200,$D147,$I$2:$I$200,"Won")+COUNTIFS($D$2:$D$200,$D147,$I$2:$I$200,"Lost")),IF((COUNTIF($I$2:$I$200,"Won")+COUNTIF($I$2:$I$200,"Lost"))&gt;0,COUNTIF($I$2:$I$200,"Won")/(COUNTIF($I$2:$I$200,"Won")+COUNTIF($I$2:$I$200,"Lost")),Settings!$B$6)))</f>
        <v/>
      </c>
      <c r="R147" s="18">
        <f>IF(OR($B147="",$G147=""),"",$G147*$Q147)</f>
        <v/>
      </c>
      <c r="S147" s="18">
        <f>IF(OR($B147="",$H147=""),"",$H147*Settings!$B$4)</f>
        <v/>
      </c>
      <c r="T147" s="18">
        <f>IF(OR($B147="",$H147="",$H147=0,$G147=""),"",$R147/$H147)</f>
        <v/>
      </c>
      <c r="U147" s="11">
        <f>IF($B147="","",IF($T147="","Add value and hours",IF($T147&gt;=Settings!$B$4*Settings!$B$8,"Worth it",IF($T147&gt;=Settings!$B$4,"Thin","Skip?"))))</f>
        <v/>
      </c>
    </row>
    <row r="148">
      <c r="A148" s="10" t="n"/>
      <c r="B148" s="10" t="n"/>
      <c r="C148" s="10" t="n"/>
      <c r="D148" s="10" t="n"/>
      <c r="E148" s="19" t="n"/>
      <c r="F148" s="19" t="n"/>
      <c r="G148" s="8" t="n"/>
      <c r="H148" s="10" t="n"/>
      <c r="I148" s="10" t="n"/>
      <c r="J148" s="19" t="n"/>
      <c r="K148" s="19" t="n"/>
      <c r="L148" s="10" t="n"/>
      <c r="M148" s="10" t="n"/>
      <c r="N148" s="7">
        <f>IF(OR($F148="",$B148=""),"",$F148-TODAY())</f>
        <v/>
      </c>
      <c r="O148" s="7">
        <f>IF($B148="","",IF(OR($I148="Won",$I148="Lost",$I148="No bid",$I148="Submitted"),"",IF($F148="","No due date",IF($F148&lt;TODAY(),"OVERDUE",IF($F148-TODAY()&lt;=Settings!$B$10,"Due soon","")))))</f>
        <v/>
      </c>
      <c r="P148" s="7">
        <f>IF($B148="","",IF(AND($I148="Submitted",$J148&lt;&gt;"",TODAY()-$J148&gt;Settings!$B$9),"Follow up",""))</f>
        <v/>
      </c>
      <c r="Q148" s="17">
        <f>IF($B148="","",IF((COUNTIFS($D$2:$D$200,$D148,$I$2:$I$200,"Won")+COUNTIFS($D$2:$D$200,$D148,$I$2:$I$200,"Lost"))&gt;=Settings!$B$7,COUNTIFS($D$2:$D$200,$D148,$I$2:$I$200,"Won")/(COUNTIFS($D$2:$D$200,$D148,$I$2:$I$200,"Won")+COUNTIFS($D$2:$D$200,$D148,$I$2:$I$200,"Lost")),IF((COUNTIF($I$2:$I$200,"Won")+COUNTIF($I$2:$I$200,"Lost"))&gt;0,COUNTIF($I$2:$I$200,"Won")/(COUNTIF($I$2:$I$200,"Won")+COUNTIF($I$2:$I$200,"Lost")),Settings!$B$6)))</f>
        <v/>
      </c>
      <c r="R148" s="18">
        <f>IF(OR($B148="",$G148=""),"",$G148*$Q148)</f>
        <v/>
      </c>
      <c r="S148" s="18">
        <f>IF(OR($B148="",$H148=""),"",$H148*Settings!$B$4)</f>
        <v/>
      </c>
      <c r="T148" s="18">
        <f>IF(OR($B148="",$H148="",$H148=0,$G148=""),"",$R148/$H148)</f>
        <v/>
      </c>
      <c r="U148" s="11">
        <f>IF($B148="","",IF($T148="","Add value and hours",IF($T148&gt;=Settings!$B$4*Settings!$B$8,"Worth it",IF($T148&gt;=Settings!$B$4,"Thin","Skip?"))))</f>
        <v/>
      </c>
    </row>
    <row r="149">
      <c r="A149" s="10" t="n"/>
      <c r="B149" s="10" t="n"/>
      <c r="C149" s="10" t="n"/>
      <c r="D149" s="10" t="n"/>
      <c r="E149" s="19" t="n"/>
      <c r="F149" s="19" t="n"/>
      <c r="G149" s="8" t="n"/>
      <c r="H149" s="10" t="n"/>
      <c r="I149" s="10" t="n"/>
      <c r="J149" s="19" t="n"/>
      <c r="K149" s="19" t="n"/>
      <c r="L149" s="10" t="n"/>
      <c r="M149" s="10" t="n"/>
      <c r="N149" s="7">
        <f>IF(OR($F149="",$B149=""),"",$F149-TODAY())</f>
        <v/>
      </c>
      <c r="O149" s="7">
        <f>IF($B149="","",IF(OR($I149="Won",$I149="Lost",$I149="No bid",$I149="Submitted"),"",IF($F149="","No due date",IF($F149&lt;TODAY(),"OVERDUE",IF($F149-TODAY()&lt;=Settings!$B$10,"Due soon","")))))</f>
        <v/>
      </c>
      <c r="P149" s="7">
        <f>IF($B149="","",IF(AND($I149="Submitted",$J149&lt;&gt;"",TODAY()-$J149&gt;Settings!$B$9),"Follow up",""))</f>
        <v/>
      </c>
      <c r="Q149" s="17">
        <f>IF($B149="","",IF((COUNTIFS($D$2:$D$200,$D149,$I$2:$I$200,"Won")+COUNTIFS($D$2:$D$200,$D149,$I$2:$I$200,"Lost"))&gt;=Settings!$B$7,COUNTIFS($D$2:$D$200,$D149,$I$2:$I$200,"Won")/(COUNTIFS($D$2:$D$200,$D149,$I$2:$I$200,"Won")+COUNTIFS($D$2:$D$200,$D149,$I$2:$I$200,"Lost")),IF((COUNTIF($I$2:$I$200,"Won")+COUNTIF($I$2:$I$200,"Lost"))&gt;0,COUNTIF($I$2:$I$200,"Won")/(COUNTIF($I$2:$I$200,"Won")+COUNTIF($I$2:$I$200,"Lost")),Settings!$B$6)))</f>
        <v/>
      </c>
      <c r="R149" s="18">
        <f>IF(OR($B149="",$G149=""),"",$G149*$Q149)</f>
        <v/>
      </c>
      <c r="S149" s="18">
        <f>IF(OR($B149="",$H149=""),"",$H149*Settings!$B$4)</f>
        <v/>
      </c>
      <c r="T149" s="18">
        <f>IF(OR($B149="",$H149="",$H149=0,$G149=""),"",$R149/$H149)</f>
        <v/>
      </c>
      <c r="U149" s="11">
        <f>IF($B149="","",IF($T149="","Add value and hours",IF($T149&gt;=Settings!$B$4*Settings!$B$8,"Worth it",IF($T149&gt;=Settings!$B$4,"Thin","Skip?"))))</f>
        <v/>
      </c>
    </row>
    <row r="150">
      <c r="A150" s="10" t="n"/>
      <c r="B150" s="10" t="n"/>
      <c r="C150" s="10" t="n"/>
      <c r="D150" s="10" t="n"/>
      <c r="E150" s="19" t="n"/>
      <c r="F150" s="19" t="n"/>
      <c r="G150" s="8" t="n"/>
      <c r="H150" s="10" t="n"/>
      <c r="I150" s="10" t="n"/>
      <c r="J150" s="19" t="n"/>
      <c r="K150" s="19" t="n"/>
      <c r="L150" s="10" t="n"/>
      <c r="M150" s="10" t="n"/>
      <c r="N150" s="7">
        <f>IF(OR($F150="",$B150=""),"",$F150-TODAY())</f>
        <v/>
      </c>
      <c r="O150" s="7">
        <f>IF($B150="","",IF(OR($I150="Won",$I150="Lost",$I150="No bid",$I150="Submitted"),"",IF($F150="","No due date",IF($F150&lt;TODAY(),"OVERDUE",IF($F150-TODAY()&lt;=Settings!$B$10,"Due soon","")))))</f>
        <v/>
      </c>
      <c r="P150" s="7">
        <f>IF($B150="","",IF(AND($I150="Submitted",$J150&lt;&gt;"",TODAY()-$J150&gt;Settings!$B$9),"Follow up",""))</f>
        <v/>
      </c>
      <c r="Q150" s="17">
        <f>IF($B150="","",IF((COUNTIFS($D$2:$D$200,$D150,$I$2:$I$200,"Won")+COUNTIFS($D$2:$D$200,$D150,$I$2:$I$200,"Lost"))&gt;=Settings!$B$7,COUNTIFS($D$2:$D$200,$D150,$I$2:$I$200,"Won")/(COUNTIFS($D$2:$D$200,$D150,$I$2:$I$200,"Won")+COUNTIFS($D$2:$D$200,$D150,$I$2:$I$200,"Lost")),IF((COUNTIF($I$2:$I$200,"Won")+COUNTIF($I$2:$I$200,"Lost"))&gt;0,COUNTIF($I$2:$I$200,"Won")/(COUNTIF($I$2:$I$200,"Won")+COUNTIF($I$2:$I$200,"Lost")),Settings!$B$6)))</f>
        <v/>
      </c>
      <c r="R150" s="18">
        <f>IF(OR($B150="",$G150=""),"",$G150*$Q150)</f>
        <v/>
      </c>
      <c r="S150" s="18">
        <f>IF(OR($B150="",$H150=""),"",$H150*Settings!$B$4)</f>
        <v/>
      </c>
      <c r="T150" s="18">
        <f>IF(OR($B150="",$H150="",$H150=0,$G150=""),"",$R150/$H150)</f>
        <v/>
      </c>
      <c r="U150" s="11">
        <f>IF($B150="","",IF($T150="","Add value and hours",IF($T150&gt;=Settings!$B$4*Settings!$B$8,"Worth it",IF($T150&gt;=Settings!$B$4,"Thin","Skip?"))))</f>
        <v/>
      </c>
    </row>
    <row r="151">
      <c r="A151" s="10" t="n"/>
      <c r="B151" s="10" t="n"/>
      <c r="C151" s="10" t="n"/>
      <c r="D151" s="10" t="n"/>
      <c r="E151" s="19" t="n"/>
      <c r="F151" s="19" t="n"/>
      <c r="G151" s="8" t="n"/>
      <c r="H151" s="10" t="n"/>
      <c r="I151" s="10" t="n"/>
      <c r="J151" s="19" t="n"/>
      <c r="K151" s="19" t="n"/>
      <c r="L151" s="10" t="n"/>
      <c r="M151" s="10" t="n"/>
      <c r="N151" s="7">
        <f>IF(OR($F151="",$B151=""),"",$F151-TODAY())</f>
        <v/>
      </c>
      <c r="O151" s="7">
        <f>IF($B151="","",IF(OR($I151="Won",$I151="Lost",$I151="No bid",$I151="Submitted"),"",IF($F151="","No due date",IF($F151&lt;TODAY(),"OVERDUE",IF($F151-TODAY()&lt;=Settings!$B$10,"Due soon","")))))</f>
        <v/>
      </c>
      <c r="P151" s="7">
        <f>IF($B151="","",IF(AND($I151="Submitted",$J151&lt;&gt;"",TODAY()-$J151&gt;Settings!$B$9),"Follow up",""))</f>
        <v/>
      </c>
      <c r="Q151" s="17">
        <f>IF($B151="","",IF((COUNTIFS($D$2:$D$200,$D151,$I$2:$I$200,"Won")+COUNTIFS($D$2:$D$200,$D151,$I$2:$I$200,"Lost"))&gt;=Settings!$B$7,COUNTIFS($D$2:$D$200,$D151,$I$2:$I$200,"Won")/(COUNTIFS($D$2:$D$200,$D151,$I$2:$I$200,"Won")+COUNTIFS($D$2:$D$200,$D151,$I$2:$I$200,"Lost")),IF((COUNTIF($I$2:$I$200,"Won")+COUNTIF($I$2:$I$200,"Lost"))&gt;0,COUNTIF($I$2:$I$200,"Won")/(COUNTIF($I$2:$I$200,"Won")+COUNTIF($I$2:$I$200,"Lost")),Settings!$B$6)))</f>
        <v/>
      </c>
      <c r="R151" s="18">
        <f>IF(OR($B151="",$G151=""),"",$G151*$Q151)</f>
        <v/>
      </c>
      <c r="S151" s="18">
        <f>IF(OR($B151="",$H151=""),"",$H151*Settings!$B$4)</f>
        <v/>
      </c>
      <c r="T151" s="18">
        <f>IF(OR($B151="",$H151="",$H151=0,$G151=""),"",$R151/$H151)</f>
        <v/>
      </c>
      <c r="U151" s="11">
        <f>IF($B151="","",IF($T151="","Add value and hours",IF($T151&gt;=Settings!$B$4*Settings!$B$8,"Worth it",IF($T151&gt;=Settings!$B$4,"Thin","Skip?"))))</f>
        <v/>
      </c>
    </row>
    <row r="152">
      <c r="A152" s="10" t="n"/>
      <c r="B152" s="10" t="n"/>
      <c r="C152" s="10" t="n"/>
      <c r="D152" s="10" t="n"/>
      <c r="E152" s="19" t="n"/>
      <c r="F152" s="19" t="n"/>
      <c r="G152" s="8" t="n"/>
      <c r="H152" s="10" t="n"/>
      <c r="I152" s="10" t="n"/>
      <c r="J152" s="19" t="n"/>
      <c r="K152" s="19" t="n"/>
      <c r="L152" s="10" t="n"/>
      <c r="M152" s="10" t="n"/>
      <c r="N152" s="7">
        <f>IF(OR($F152="",$B152=""),"",$F152-TODAY())</f>
        <v/>
      </c>
      <c r="O152" s="7">
        <f>IF($B152="","",IF(OR($I152="Won",$I152="Lost",$I152="No bid",$I152="Submitted"),"",IF($F152="","No due date",IF($F152&lt;TODAY(),"OVERDUE",IF($F152-TODAY()&lt;=Settings!$B$10,"Due soon","")))))</f>
        <v/>
      </c>
      <c r="P152" s="7">
        <f>IF($B152="","",IF(AND($I152="Submitted",$J152&lt;&gt;"",TODAY()-$J152&gt;Settings!$B$9),"Follow up",""))</f>
        <v/>
      </c>
      <c r="Q152" s="17">
        <f>IF($B152="","",IF((COUNTIFS($D$2:$D$200,$D152,$I$2:$I$200,"Won")+COUNTIFS($D$2:$D$200,$D152,$I$2:$I$200,"Lost"))&gt;=Settings!$B$7,COUNTIFS($D$2:$D$200,$D152,$I$2:$I$200,"Won")/(COUNTIFS($D$2:$D$200,$D152,$I$2:$I$200,"Won")+COUNTIFS($D$2:$D$200,$D152,$I$2:$I$200,"Lost")),IF((COUNTIF($I$2:$I$200,"Won")+COUNTIF($I$2:$I$200,"Lost"))&gt;0,COUNTIF($I$2:$I$200,"Won")/(COUNTIF($I$2:$I$200,"Won")+COUNTIF($I$2:$I$200,"Lost")),Settings!$B$6)))</f>
        <v/>
      </c>
      <c r="R152" s="18">
        <f>IF(OR($B152="",$G152=""),"",$G152*$Q152)</f>
        <v/>
      </c>
      <c r="S152" s="18">
        <f>IF(OR($B152="",$H152=""),"",$H152*Settings!$B$4)</f>
        <v/>
      </c>
      <c r="T152" s="18">
        <f>IF(OR($B152="",$H152="",$H152=0,$G152=""),"",$R152/$H152)</f>
        <v/>
      </c>
      <c r="U152" s="11">
        <f>IF($B152="","",IF($T152="","Add value and hours",IF($T152&gt;=Settings!$B$4*Settings!$B$8,"Worth it",IF($T152&gt;=Settings!$B$4,"Thin","Skip?"))))</f>
        <v/>
      </c>
    </row>
    <row r="153">
      <c r="A153" s="10" t="n"/>
      <c r="B153" s="10" t="n"/>
      <c r="C153" s="10" t="n"/>
      <c r="D153" s="10" t="n"/>
      <c r="E153" s="19" t="n"/>
      <c r="F153" s="19" t="n"/>
      <c r="G153" s="8" t="n"/>
      <c r="H153" s="10" t="n"/>
      <c r="I153" s="10" t="n"/>
      <c r="J153" s="19" t="n"/>
      <c r="K153" s="19" t="n"/>
      <c r="L153" s="10" t="n"/>
      <c r="M153" s="10" t="n"/>
      <c r="N153" s="7">
        <f>IF(OR($F153="",$B153=""),"",$F153-TODAY())</f>
        <v/>
      </c>
      <c r="O153" s="7">
        <f>IF($B153="","",IF(OR($I153="Won",$I153="Lost",$I153="No bid",$I153="Submitted"),"",IF($F153="","No due date",IF($F153&lt;TODAY(),"OVERDUE",IF($F153-TODAY()&lt;=Settings!$B$10,"Due soon","")))))</f>
        <v/>
      </c>
      <c r="P153" s="7">
        <f>IF($B153="","",IF(AND($I153="Submitted",$J153&lt;&gt;"",TODAY()-$J153&gt;Settings!$B$9),"Follow up",""))</f>
        <v/>
      </c>
      <c r="Q153" s="17">
        <f>IF($B153="","",IF((COUNTIFS($D$2:$D$200,$D153,$I$2:$I$200,"Won")+COUNTIFS($D$2:$D$200,$D153,$I$2:$I$200,"Lost"))&gt;=Settings!$B$7,COUNTIFS($D$2:$D$200,$D153,$I$2:$I$200,"Won")/(COUNTIFS($D$2:$D$200,$D153,$I$2:$I$200,"Won")+COUNTIFS($D$2:$D$200,$D153,$I$2:$I$200,"Lost")),IF((COUNTIF($I$2:$I$200,"Won")+COUNTIF($I$2:$I$200,"Lost"))&gt;0,COUNTIF($I$2:$I$200,"Won")/(COUNTIF($I$2:$I$200,"Won")+COUNTIF($I$2:$I$200,"Lost")),Settings!$B$6)))</f>
        <v/>
      </c>
      <c r="R153" s="18">
        <f>IF(OR($B153="",$G153=""),"",$G153*$Q153)</f>
        <v/>
      </c>
      <c r="S153" s="18">
        <f>IF(OR($B153="",$H153=""),"",$H153*Settings!$B$4)</f>
        <v/>
      </c>
      <c r="T153" s="18">
        <f>IF(OR($B153="",$H153="",$H153=0,$G153=""),"",$R153/$H153)</f>
        <v/>
      </c>
      <c r="U153" s="11">
        <f>IF($B153="","",IF($T153="","Add value and hours",IF($T153&gt;=Settings!$B$4*Settings!$B$8,"Worth it",IF($T153&gt;=Settings!$B$4,"Thin","Skip?"))))</f>
        <v/>
      </c>
    </row>
    <row r="154">
      <c r="A154" s="10" t="n"/>
      <c r="B154" s="10" t="n"/>
      <c r="C154" s="10" t="n"/>
      <c r="D154" s="10" t="n"/>
      <c r="E154" s="19" t="n"/>
      <c r="F154" s="19" t="n"/>
      <c r="G154" s="8" t="n"/>
      <c r="H154" s="10" t="n"/>
      <c r="I154" s="10" t="n"/>
      <c r="J154" s="19" t="n"/>
      <c r="K154" s="19" t="n"/>
      <c r="L154" s="10" t="n"/>
      <c r="M154" s="10" t="n"/>
      <c r="N154" s="7">
        <f>IF(OR($F154="",$B154=""),"",$F154-TODAY())</f>
        <v/>
      </c>
      <c r="O154" s="7">
        <f>IF($B154="","",IF(OR($I154="Won",$I154="Lost",$I154="No bid",$I154="Submitted"),"",IF($F154="","No due date",IF($F154&lt;TODAY(),"OVERDUE",IF($F154-TODAY()&lt;=Settings!$B$10,"Due soon","")))))</f>
        <v/>
      </c>
      <c r="P154" s="7">
        <f>IF($B154="","",IF(AND($I154="Submitted",$J154&lt;&gt;"",TODAY()-$J154&gt;Settings!$B$9),"Follow up",""))</f>
        <v/>
      </c>
      <c r="Q154" s="17">
        <f>IF($B154="","",IF((COUNTIFS($D$2:$D$200,$D154,$I$2:$I$200,"Won")+COUNTIFS($D$2:$D$200,$D154,$I$2:$I$200,"Lost"))&gt;=Settings!$B$7,COUNTIFS($D$2:$D$200,$D154,$I$2:$I$200,"Won")/(COUNTIFS($D$2:$D$200,$D154,$I$2:$I$200,"Won")+COUNTIFS($D$2:$D$200,$D154,$I$2:$I$200,"Lost")),IF((COUNTIF($I$2:$I$200,"Won")+COUNTIF($I$2:$I$200,"Lost"))&gt;0,COUNTIF($I$2:$I$200,"Won")/(COUNTIF($I$2:$I$200,"Won")+COUNTIF($I$2:$I$200,"Lost")),Settings!$B$6)))</f>
        <v/>
      </c>
      <c r="R154" s="18">
        <f>IF(OR($B154="",$G154=""),"",$G154*$Q154)</f>
        <v/>
      </c>
      <c r="S154" s="18">
        <f>IF(OR($B154="",$H154=""),"",$H154*Settings!$B$4)</f>
        <v/>
      </c>
      <c r="T154" s="18">
        <f>IF(OR($B154="",$H154="",$H154=0,$G154=""),"",$R154/$H154)</f>
        <v/>
      </c>
      <c r="U154" s="11">
        <f>IF($B154="","",IF($T154="","Add value and hours",IF($T154&gt;=Settings!$B$4*Settings!$B$8,"Worth it",IF($T154&gt;=Settings!$B$4,"Thin","Skip?"))))</f>
        <v/>
      </c>
    </row>
    <row r="155">
      <c r="A155" s="10" t="n"/>
      <c r="B155" s="10" t="n"/>
      <c r="C155" s="10" t="n"/>
      <c r="D155" s="10" t="n"/>
      <c r="E155" s="19" t="n"/>
      <c r="F155" s="19" t="n"/>
      <c r="G155" s="8" t="n"/>
      <c r="H155" s="10" t="n"/>
      <c r="I155" s="10" t="n"/>
      <c r="J155" s="19" t="n"/>
      <c r="K155" s="19" t="n"/>
      <c r="L155" s="10" t="n"/>
      <c r="M155" s="10" t="n"/>
      <c r="N155" s="7">
        <f>IF(OR($F155="",$B155=""),"",$F155-TODAY())</f>
        <v/>
      </c>
      <c r="O155" s="7">
        <f>IF($B155="","",IF(OR($I155="Won",$I155="Lost",$I155="No bid",$I155="Submitted"),"",IF($F155="","No due date",IF($F155&lt;TODAY(),"OVERDUE",IF($F155-TODAY()&lt;=Settings!$B$10,"Due soon","")))))</f>
        <v/>
      </c>
      <c r="P155" s="7">
        <f>IF($B155="","",IF(AND($I155="Submitted",$J155&lt;&gt;"",TODAY()-$J155&gt;Settings!$B$9),"Follow up",""))</f>
        <v/>
      </c>
      <c r="Q155" s="17">
        <f>IF($B155="","",IF((COUNTIFS($D$2:$D$200,$D155,$I$2:$I$200,"Won")+COUNTIFS($D$2:$D$200,$D155,$I$2:$I$200,"Lost"))&gt;=Settings!$B$7,COUNTIFS($D$2:$D$200,$D155,$I$2:$I$200,"Won")/(COUNTIFS($D$2:$D$200,$D155,$I$2:$I$200,"Won")+COUNTIFS($D$2:$D$200,$D155,$I$2:$I$200,"Lost")),IF((COUNTIF($I$2:$I$200,"Won")+COUNTIF($I$2:$I$200,"Lost"))&gt;0,COUNTIF($I$2:$I$200,"Won")/(COUNTIF($I$2:$I$200,"Won")+COUNTIF($I$2:$I$200,"Lost")),Settings!$B$6)))</f>
        <v/>
      </c>
      <c r="R155" s="18">
        <f>IF(OR($B155="",$G155=""),"",$G155*$Q155)</f>
        <v/>
      </c>
      <c r="S155" s="18">
        <f>IF(OR($B155="",$H155=""),"",$H155*Settings!$B$4)</f>
        <v/>
      </c>
      <c r="T155" s="18">
        <f>IF(OR($B155="",$H155="",$H155=0,$G155=""),"",$R155/$H155)</f>
        <v/>
      </c>
      <c r="U155" s="11">
        <f>IF($B155="","",IF($T155="","Add value and hours",IF($T155&gt;=Settings!$B$4*Settings!$B$8,"Worth it",IF($T155&gt;=Settings!$B$4,"Thin","Skip?"))))</f>
        <v/>
      </c>
    </row>
    <row r="156">
      <c r="A156" s="10" t="n"/>
      <c r="B156" s="10" t="n"/>
      <c r="C156" s="10" t="n"/>
      <c r="D156" s="10" t="n"/>
      <c r="E156" s="19" t="n"/>
      <c r="F156" s="19" t="n"/>
      <c r="G156" s="8" t="n"/>
      <c r="H156" s="10" t="n"/>
      <c r="I156" s="10" t="n"/>
      <c r="J156" s="19" t="n"/>
      <c r="K156" s="19" t="n"/>
      <c r="L156" s="10" t="n"/>
      <c r="M156" s="10" t="n"/>
      <c r="N156" s="7">
        <f>IF(OR($F156="",$B156=""),"",$F156-TODAY())</f>
        <v/>
      </c>
      <c r="O156" s="7">
        <f>IF($B156="","",IF(OR($I156="Won",$I156="Lost",$I156="No bid",$I156="Submitted"),"",IF($F156="","No due date",IF($F156&lt;TODAY(),"OVERDUE",IF($F156-TODAY()&lt;=Settings!$B$10,"Due soon","")))))</f>
        <v/>
      </c>
      <c r="P156" s="7">
        <f>IF($B156="","",IF(AND($I156="Submitted",$J156&lt;&gt;"",TODAY()-$J156&gt;Settings!$B$9),"Follow up",""))</f>
        <v/>
      </c>
      <c r="Q156" s="17">
        <f>IF($B156="","",IF((COUNTIFS($D$2:$D$200,$D156,$I$2:$I$200,"Won")+COUNTIFS($D$2:$D$200,$D156,$I$2:$I$200,"Lost"))&gt;=Settings!$B$7,COUNTIFS($D$2:$D$200,$D156,$I$2:$I$200,"Won")/(COUNTIFS($D$2:$D$200,$D156,$I$2:$I$200,"Won")+COUNTIFS($D$2:$D$200,$D156,$I$2:$I$200,"Lost")),IF((COUNTIF($I$2:$I$200,"Won")+COUNTIF($I$2:$I$200,"Lost"))&gt;0,COUNTIF($I$2:$I$200,"Won")/(COUNTIF($I$2:$I$200,"Won")+COUNTIF($I$2:$I$200,"Lost")),Settings!$B$6)))</f>
        <v/>
      </c>
      <c r="R156" s="18">
        <f>IF(OR($B156="",$G156=""),"",$G156*$Q156)</f>
        <v/>
      </c>
      <c r="S156" s="18">
        <f>IF(OR($B156="",$H156=""),"",$H156*Settings!$B$4)</f>
        <v/>
      </c>
      <c r="T156" s="18">
        <f>IF(OR($B156="",$H156="",$H156=0,$G156=""),"",$R156/$H156)</f>
        <v/>
      </c>
      <c r="U156" s="11">
        <f>IF($B156="","",IF($T156="","Add value and hours",IF($T156&gt;=Settings!$B$4*Settings!$B$8,"Worth it",IF($T156&gt;=Settings!$B$4,"Thin","Skip?"))))</f>
        <v/>
      </c>
    </row>
    <row r="157">
      <c r="A157" s="10" t="n"/>
      <c r="B157" s="10" t="n"/>
      <c r="C157" s="10" t="n"/>
      <c r="D157" s="10" t="n"/>
      <c r="E157" s="19" t="n"/>
      <c r="F157" s="19" t="n"/>
      <c r="G157" s="8" t="n"/>
      <c r="H157" s="10" t="n"/>
      <c r="I157" s="10" t="n"/>
      <c r="J157" s="19" t="n"/>
      <c r="K157" s="19" t="n"/>
      <c r="L157" s="10" t="n"/>
      <c r="M157" s="10" t="n"/>
      <c r="N157" s="7">
        <f>IF(OR($F157="",$B157=""),"",$F157-TODAY())</f>
        <v/>
      </c>
      <c r="O157" s="7">
        <f>IF($B157="","",IF(OR($I157="Won",$I157="Lost",$I157="No bid",$I157="Submitted"),"",IF($F157="","No due date",IF($F157&lt;TODAY(),"OVERDUE",IF($F157-TODAY()&lt;=Settings!$B$10,"Due soon","")))))</f>
        <v/>
      </c>
      <c r="P157" s="7">
        <f>IF($B157="","",IF(AND($I157="Submitted",$J157&lt;&gt;"",TODAY()-$J157&gt;Settings!$B$9),"Follow up",""))</f>
        <v/>
      </c>
      <c r="Q157" s="17">
        <f>IF($B157="","",IF((COUNTIFS($D$2:$D$200,$D157,$I$2:$I$200,"Won")+COUNTIFS($D$2:$D$200,$D157,$I$2:$I$200,"Lost"))&gt;=Settings!$B$7,COUNTIFS($D$2:$D$200,$D157,$I$2:$I$200,"Won")/(COUNTIFS($D$2:$D$200,$D157,$I$2:$I$200,"Won")+COUNTIFS($D$2:$D$200,$D157,$I$2:$I$200,"Lost")),IF((COUNTIF($I$2:$I$200,"Won")+COUNTIF($I$2:$I$200,"Lost"))&gt;0,COUNTIF($I$2:$I$200,"Won")/(COUNTIF($I$2:$I$200,"Won")+COUNTIF($I$2:$I$200,"Lost")),Settings!$B$6)))</f>
        <v/>
      </c>
      <c r="R157" s="18">
        <f>IF(OR($B157="",$G157=""),"",$G157*$Q157)</f>
        <v/>
      </c>
      <c r="S157" s="18">
        <f>IF(OR($B157="",$H157=""),"",$H157*Settings!$B$4)</f>
        <v/>
      </c>
      <c r="T157" s="18">
        <f>IF(OR($B157="",$H157="",$H157=0,$G157=""),"",$R157/$H157)</f>
        <v/>
      </c>
      <c r="U157" s="11">
        <f>IF($B157="","",IF($T157="","Add value and hours",IF($T157&gt;=Settings!$B$4*Settings!$B$8,"Worth it",IF($T157&gt;=Settings!$B$4,"Thin","Skip?"))))</f>
        <v/>
      </c>
    </row>
    <row r="158">
      <c r="A158" s="10" t="n"/>
      <c r="B158" s="10" t="n"/>
      <c r="C158" s="10" t="n"/>
      <c r="D158" s="10" t="n"/>
      <c r="E158" s="19" t="n"/>
      <c r="F158" s="19" t="n"/>
      <c r="G158" s="8" t="n"/>
      <c r="H158" s="10" t="n"/>
      <c r="I158" s="10" t="n"/>
      <c r="J158" s="19" t="n"/>
      <c r="K158" s="19" t="n"/>
      <c r="L158" s="10" t="n"/>
      <c r="M158" s="10" t="n"/>
      <c r="N158" s="7">
        <f>IF(OR($F158="",$B158=""),"",$F158-TODAY())</f>
        <v/>
      </c>
      <c r="O158" s="7">
        <f>IF($B158="","",IF(OR($I158="Won",$I158="Lost",$I158="No bid",$I158="Submitted"),"",IF($F158="","No due date",IF($F158&lt;TODAY(),"OVERDUE",IF($F158-TODAY()&lt;=Settings!$B$10,"Due soon","")))))</f>
        <v/>
      </c>
      <c r="P158" s="7">
        <f>IF($B158="","",IF(AND($I158="Submitted",$J158&lt;&gt;"",TODAY()-$J158&gt;Settings!$B$9),"Follow up",""))</f>
        <v/>
      </c>
      <c r="Q158" s="17">
        <f>IF($B158="","",IF((COUNTIFS($D$2:$D$200,$D158,$I$2:$I$200,"Won")+COUNTIFS($D$2:$D$200,$D158,$I$2:$I$200,"Lost"))&gt;=Settings!$B$7,COUNTIFS($D$2:$D$200,$D158,$I$2:$I$200,"Won")/(COUNTIFS($D$2:$D$200,$D158,$I$2:$I$200,"Won")+COUNTIFS($D$2:$D$200,$D158,$I$2:$I$200,"Lost")),IF((COUNTIF($I$2:$I$200,"Won")+COUNTIF($I$2:$I$200,"Lost"))&gt;0,COUNTIF($I$2:$I$200,"Won")/(COUNTIF($I$2:$I$200,"Won")+COUNTIF($I$2:$I$200,"Lost")),Settings!$B$6)))</f>
        <v/>
      </c>
      <c r="R158" s="18">
        <f>IF(OR($B158="",$G158=""),"",$G158*$Q158)</f>
        <v/>
      </c>
      <c r="S158" s="18">
        <f>IF(OR($B158="",$H158=""),"",$H158*Settings!$B$4)</f>
        <v/>
      </c>
      <c r="T158" s="18">
        <f>IF(OR($B158="",$H158="",$H158=0,$G158=""),"",$R158/$H158)</f>
        <v/>
      </c>
      <c r="U158" s="11">
        <f>IF($B158="","",IF($T158="","Add value and hours",IF($T158&gt;=Settings!$B$4*Settings!$B$8,"Worth it",IF($T158&gt;=Settings!$B$4,"Thin","Skip?"))))</f>
        <v/>
      </c>
    </row>
    <row r="159">
      <c r="A159" s="10" t="n"/>
      <c r="B159" s="10" t="n"/>
      <c r="C159" s="10" t="n"/>
      <c r="D159" s="10" t="n"/>
      <c r="E159" s="19" t="n"/>
      <c r="F159" s="19" t="n"/>
      <c r="G159" s="8" t="n"/>
      <c r="H159" s="10" t="n"/>
      <c r="I159" s="10" t="n"/>
      <c r="J159" s="19" t="n"/>
      <c r="K159" s="19" t="n"/>
      <c r="L159" s="10" t="n"/>
      <c r="M159" s="10" t="n"/>
      <c r="N159" s="7">
        <f>IF(OR($F159="",$B159=""),"",$F159-TODAY())</f>
        <v/>
      </c>
      <c r="O159" s="7">
        <f>IF($B159="","",IF(OR($I159="Won",$I159="Lost",$I159="No bid",$I159="Submitted"),"",IF($F159="","No due date",IF($F159&lt;TODAY(),"OVERDUE",IF($F159-TODAY()&lt;=Settings!$B$10,"Due soon","")))))</f>
        <v/>
      </c>
      <c r="P159" s="7">
        <f>IF($B159="","",IF(AND($I159="Submitted",$J159&lt;&gt;"",TODAY()-$J159&gt;Settings!$B$9),"Follow up",""))</f>
        <v/>
      </c>
      <c r="Q159" s="17">
        <f>IF($B159="","",IF((COUNTIFS($D$2:$D$200,$D159,$I$2:$I$200,"Won")+COUNTIFS($D$2:$D$200,$D159,$I$2:$I$200,"Lost"))&gt;=Settings!$B$7,COUNTIFS($D$2:$D$200,$D159,$I$2:$I$200,"Won")/(COUNTIFS($D$2:$D$200,$D159,$I$2:$I$200,"Won")+COUNTIFS($D$2:$D$200,$D159,$I$2:$I$200,"Lost")),IF((COUNTIF($I$2:$I$200,"Won")+COUNTIF($I$2:$I$200,"Lost"))&gt;0,COUNTIF($I$2:$I$200,"Won")/(COUNTIF($I$2:$I$200,"Won")+COUNTIF($I$2:$I$200,"Lost")),Settings!$B$6)))</f>
        <v/>
      </c>
      <c r="R159" s="18">
        <f>IF(OR($B159="",$G159=""),"",$G159*$Q159)</f>
        <v/>
      </c>
      <c r="S159" s="18">
        <f>IF(OR($B159="",$H159=""),"",$H159*Settings!$B$4)</f>
        <v/>
      </c>
      <c r="T159" s="18">
        <f>IF(OR($B159="",$H159="",$H159=0,$G159=""),"",$R159/$H159)</f>
        <v/>
      </c>
      <c r="U159" s="11">
        <f>IF($B159="","",IF($T159="","Add value and hours",IF($T159&gt;=Settings!$B$4*Settings!$B$8,"Worth it",IF($T159&gt;=Settings!$B$4,"Thin","Skip?"))))</f>
        <v/>
      </c>
    </row>
    <row r="160">
      <c r="A160" s="10" t="n"/>
      <c r="B160" s="10" t="n"/>
      <c r="C160" s="10" t="n"/>
      <c r="D160" s="10" t="n"/>
      <c r="E160" s="19" t="n"/>
      <c r="F160" s="19" t="n"/>
      <c r="G160" s="8" t="n"/>
      <c r="H160" s="10" t="n"/>
      <c r="I160" s="10" t="n"/>
      <c r="J160" s="19" t="n"/>
      <c r="K160" s="19" t="n"/>
      <c r="L160" s="10" t="n"/>
      <c r="M160" s="10" t="n"/>
      <c r="N160" s="7">
        <f>IF(OR($F160="",$B160=""),"",$F160-TODAY())</f>
        <v/>
      </c>
      <c r="O160" s="7">
        <f>IF($B160="","",IF(OR($I160="Won",$I160="Lost",$I160="No bid",$I160="Submitted"),"",IF($F160="","No due date",IF($F160&lt;TODAY(),"OVERDUE",IF($F160-TODAY()&lt;=Settings!$B$10,"Due soon","")))))</f>
        <v/>
      </c>
      <c r="P160" s="7">
        <f>IF($B160="","",IF(AND($I160="Submitted",$J160&lt;&gt;"",TODAY()-$J160&gt;Settings!$B$9),"Follow up",""))</f>
        <v/>
      </c>
      <c r="Q160" s="17">
        <f>IF($B160="","",IF((COUNTIFS($D$2:$D$200,$D160,$I$2:$I$200,"Won")+COUNTIFS($D$2:$D$200,$D160,$I$2:$I$200,"Lost"))&gt;=Settings!$B$7,COUNTIFS($D$2:$D$200,$D160,$I$2:$I$200,"Won")/(COUNTIFS($D$2:$D$200,$D160,$I$2:$I$200,"Won")+COUNTIFS($D$2:$D$200,$D160,$I$2:$I$200,"Lost")),IF((COUNTIF($I$2:$I$200,"Won")+COUNTIF($I$2:$I$200,"Lost"))&gt;0,COUNTIF($I$2:$I$200,"Won")/(COUNTIF($I$2:$I$200,"Won")+COUNTIF($I$2:$I$200,"Lost")),Settings!$B$6)))</f>
        <v/>
      </c>
      <c r="R160" s="18">
        <f>IF(OR($B160="",$G160=""),"",$G160*$Q160)</f>
        <v/>
      </c>
      <c r="S160" s="18">
        <f>IF(OR($B160="",$H160=""),"",$H160*Settings!$B$4)</f>
        <v/>
      </c>
      <c r="T160" s="18">
        <f>IF(OR($B160="",$H160="",$H160=0,$G160=""),"",$R160/$H160)</f>
        <v/>
      </c>
      <c r="U160" s="11">
        <f>IF($B160="","",IF($T160="","Add value and hours",IF($T160&gt;=Settings!$B$4*Settings!$B$8,"Worth it",IF($T160&gt;=Settings!$B$4,"Thin","Skip?"))))</f>
        <v/>
      </c>
    </row>
    <row r="161">
      <c r="A161" s="10" t="n"/>
      <c r="B161" s="10" t="n"/>
      <c r="C161" s="10" t="n"/>
      <c r="D161" s="10" t="n"/>
      <c r="E161" s="19" t="n"/>
      <c r="F161" s="19" t="n"/>
      <c r="G161" s="8" t="n"/>
      <c r="H161" s="10" t="n"/>
      <c r="I161" s="10" t="n"/>
      <c r="J161" s="19" t="n"/>
      <c r="K161" s="19" t="n"/>
      <c r="L161" s="10" t="n"/>
      <c r="M161" s="10" t="n"/>
      <c r="N161" s="7">
        <f>IF(OR($F161="",$B161=""),"",$F161-TODAY())</f>
        <v/>
      </c>
      <c r="O161" s="7">
        <f>IF($B161="","",IF(OR($I161="Won",$I161="Lost",$I161="No bid",$I161="Submitted"),"",IF($F161="","No due date",IF($F161&lt;TODAY(),"OVERDUE",IF($F161-TODAY()&lt;=Settings!$B$10,"Due soon","")))))</f>
        <v/>
      </c>
      <c r="P161" s="7">
        <f>IF($B161="","",IF(AND($I161="Submitted",$J161&lt;&gt;"",TODAY()-$J161&gt;Settings!$B$9),"Follow up",""))</f>
        <v/>
      </c>
      <c r="Q161" s="17">
        <f>IF($B161="","",IF((COUNTIFS($D$2:$D$200,$D161,$I$2:$I$200,"Won")+COUNTIFS($D$2:$D$200,$D161,$I$2:$I$200,"Lost"))&gt;=Settings!$B$7,COUNTIFS($D$2:$D$200,$D161,$I$2:$I$200,"Won")/(COUNTIFS($D$2:$D$200,$D161,$I$2:$I$200,"Won")+COUNTIFS($D$2:$D$200,$D161,$I$2:$I$200,"Lost")),IF((COUNTIF($I$2:$I$200,"Won")+COUNTIF($I$2:$I$200,"Lost"))&gt;0,COUNTIF($I$2:$I$200,"Won")/(COUNTIF($I$2:$I$200,"Won")+COUNTIF($I$2:$I$200,"Lost")),Settings!$B$6)))</f>
        <v/>
      </c>
      <c r="R161" s="18">
        <f>IF(OR($B161="",$G161=""),"",$G161*$Q161)</f>
        <v/>
      </c>
      <c r="S161" s="18">
        <f>IF(OR($B161="",$H161=""),"",$H161*Settings!$B$4)</f>
        <v/>
      </c>
      <c r="T161" s="18">
        <f>IF(OR($B161="",$H161="",$H161=0,$G161=""),"",$R161/$H161)</f>
        <v/>
      </c>
      <c r="U161" s="11">
        <f>IF($B161="","",IF($T161="","Add value and hours",IF($T161&gt;=Settings!$B$4*Settings!$B$8,"Worth it",IF($T161&gt;=Settings!$B$4,"Thin","Skip?"))))</f>
        <v/>
      </c>
    </row>
    <row r="162">
      <c r="A162" s="10" t="n"/>
      <c r="B162" s="10" t="n"/>
      <c r="C162" s="10" t="n"/>
      <c r="D162" s="10" t="n"/>
      <c r="E162" s="19" t="n"/>
      <c r="F162" s="19" t="n"/>
      <c r="G162" s="8" t="n"/>
      <c r="H162" s="10" t="n"/>
      <c r="I162" s="10" t="n"/>
      <c r="J162" s="19" t="n"/>
      <c r="K162" s="19" t="n"/>
      <c r="L162" s="10" t="n"/>
      <c r="M162" s="10" t="n"/>
      <c r="N162" s="7">
        <f>IF(OR($F162="",$B162=""),"",$F162-TODAY())</f>
        <v/>
      </c>
      <c r="O162" s="7">
        <f>IF($B162="","",IF(OR($I162="Won",$I162="Lost",$I162="No bid",$I162="Submitted"),"",IF($F162="","No due date",IF($F162&lt;TODAY(),"OVERDUE",IF($F162-TODAY()&lt;=Settings!$B$10,"Due soon","")))))</f>
        <v/>
      </c>
      <c r="P162" s="7">
        <f>IF($B162="","",IF(AND($I162="Submitted",$J162&lt;&gt;"",TODAY()-$J162&gt;Settings!$B$9),"Follow up",""))</f>
        <v/>
      </c>
      <c r="Q162" s="17">
        <f>IF($B162="","",IF((COUNTIFS($D$2:$D$200,$D162,$I$2:$I$200,"Won")+COUNTIFS($D$2:$D$200,$D162,$I$2:$I$200,"Lost"))&gt;=Settings!$B$7,COUNTIFS($D$2:$D$200,$D162,$I$2:$I$200,"Won")/(COUNTIFS($D$2:$D$200,$D162,$I$2:$I$200,"Won")+COUNTIFS($D$2:$D$200,$D162,$I$2:$I$200,"Lost")),IF((COUNTIF($I$2:$I$200,"Won")+COUNTIF($I$2:$I$200,"Lost"))&gt;0,COUNTIF($I$2:$I$200,"Won")/(COUNTIF($I$2:$I$200,"Won")+COUNTIF($I$2:$I$200,"Lost")),Settings!$B$6)))</f>
        <v/>
      </c>
      <c r="R162" s="18">
        <f>IF(OR($B162="",$G162=""),"",$G162*$Q162)</f>
        <v/>
      </c>
      <c r="S162" s="18">
        <f>IF(OR($B162="",$H162=""),"",$H162*Settings!$B$4)</f>
        <v/>
      </c>
      <c r="T162" s="18">
        <f>IF(OR($B162="",$H162="",$H162=0,$G162=""),"",$R162/$H162)</f>
        <v/>
      </c>
      <c r="U162" s="11">
        <f>IF($B162="","",IF($T162="","Add value and hours",IF($T162&gt;=Settings!$B$4*Settings!$B$8,"Worth it",IF($T162&gt;=Settings!$B$4,"Thin","Skip?"))))</f>
        <v/>
      </c>
    </row>
    <row r="163">
      <c r="A163" s="10" t="n"/>
      <c r="B163" s="10" t="n"/>
      <c r="C163" s="10" t="n"/>
      <c r="D163" s="10" t="n"/>
      <c r="E163" s="19" t="n"/>
      <c r="F163" s="19" t="n"/>
      <c r="G163" s="8" t="n"/>
      <c r="H163" s="10" t="n"/>
      <c r="I163" s="10" t="n"/>
      <c r="J163" s="19" t="n"/>
      <c r="K163" s="19" t="n"/>
      <c r="L163" s="10" t="n"/>
      <c r="M163" s="10" t="n"/>
      <c r="N163" s="7">
        <f>IF(OR($F163="",$B163=""),"",$F163-TODAY())</f>
        <v/>
      </c>
      <c r="O163" s="7">
        <f>IF($B163="","",IF(OR($I163="Won",$I163="Lost",$I163="No bid",$I163="Submitted"),"",IF($F163="","No due date",IF($F163&lt;TODAY(),"OVERDUE",IF($F163-TODAY()&lt;=Settings!$B$10,"Due soon","")))))</f>
        <v/>
      </c>
      <c r="P163" s="7">
        <f>IF($B163="","",IF(AND($I163="Submitted",$J163&lt;&gt;"",TODAY()-$J163&gt;Settings!$B$9),"Follow up",""))</f>
        <v/>
      </c>
      <c r="Q163" s="17">
        <f>IF($B163="","",IF((COUNTIFS($D$2:$D$200,$D163,$I$2:$I$200,"Won")+COUNTIFS($D$2:$D$200,$D163,$I$2:$I$200,"Lost"))&gt;=Settings!$B$7,COUNTIFS($D$2:$D$200,$D163,$I$2:$I$200,"Won")/(COUNTIFS($D$2:$D$200,$D163,$I$2:$I$200,"Won")+COUNTIFS($D$2:$D$200,$D163,$I$2:$I$200,"Lost")),IF((COUNTIF($I$2:$I$200,"Won")+COUNTIF($I$2:$I$200,"Lost"))&gt;0,COUNTIF($I$2:$I$200,"Won")/(COUNTIF($I$2:$I$200,"Won")+COUNTIF($I$2:$I$200,"Lost")),Settings!$B$6)))</f>
        <v/>
      </c>
      <c r="R163" s="18">
        <f>IF(OR($B163="",$G163=""),"",$G163*$Q163)</f>
        <v/>
      </c>
      <c r="S163" s="18">
        <f>IF(OR($B163="",$H163=""),"",$H163*Settings!$B$4)</f>
        <v/>
      </c>
      <c r="T163" s="18">
        <f>IF(OR($B163="",$H163="",$H163=0,$G163=""),"",$R163/$H163)</f>
        <v/>
      </c>
      <c r="U163" s="11">
        <f>IF($B163="","",IF($T163="","Add value and hours",IF($T163&gt;=Settings!$B$4*Settings!$B$8,"Worth it",IF($T163&gt;=Settings!$B$4,"Thin","Skip?"))))</f>
        <v/>
      </c>
    </row>
    <row r="164">
      <c r="A164" s="10" t="n"/>
      <c r="B164" s="10" t="n"/>
      <c r="C164" s="10" t="n"/>
      <c r="D164" s="10" t="n"/>
      <c r="E164" s="19" t="n"/>
      <c r="F164" s="19" t="n"/>
      <c r="G164" s="8" t="n"/>
      <c r="H164" s="10" t="n"/>
      <c r="I164" s="10" t="n"/>
      <c r="J164" s="19" t="n"/>
      <c r="K164" s="19" t="n"/>
      <c r="L164" s="10" t="n"/>
      <c r="M164" s="10" t="n"/>
      <c r="N164" s="7">
        <f>IF(OR($F164="",$B164=""),"",$F164-TODAY())</f>
        <v/>
      </c>
      <c r="O164" s="7">
        <f>IF($B164="","",IF(OR($I164="Won",$I164="Lost",$I164="No bid",$I164="Submitted"),"",IF($F164="","No due date",IF($F164&lt;TODAY(),"OVERDUE",IF($F164-TODAY()&lt;=Settings!$B$10,"Due soon","")))))</f>
        <v/>
      </c>
      <c r="P164" s="7">
        <f>IF($B164="","",IF(AND($I164="Submitted",$J164&lt;&gt;"",TODAY()-$J164&gt;Settings!$B$9),"Follow up",""))</f>
        <v/>
      </c>
      <c r="Q164" s="17">
        <f>IF($B164="","",IF((COUNTIFS($D$2:$D$200,$D164,$I$2:$I$200,"Won")+COUNTIFS($D$2:$D$200,$D164,$I$2:$I$200,"Lost"))&gt;=Settings!$B$7,COUNTIFS($D$2:$D$200,$D164,$I$2:$I$200,"Won")/(COUNTIFS($D$2:$D$200,$D164,$I$2:$I$200,"Won")+COUNTIFS($D$2:$D$200,$D164,$I$2:$I$200,"Lost")),IF((COUNTIF($I$2:$I$200,"Won")+COUNTIF($I$2:$I$200,"Lost"))&gt;0,COUNTIF($I$2:$I$200,"Won")/(COUNTIF($I$2:$I$200,"Won")+COUNTIF($I$2:$I$200,"Lost")),Settings!$B$6)))</f>
        <v/>
      </c>
      <c r="R164" s="18">
        <f>IF(OR($B164="",$G164=""),"",$G164*$Q164)</f>
        <v/>
      </c>
      <c r="S164" s="18">
        <f>IF(OR($B164="",$H164=""),"",$H164*Settings!$B$4)</f>
        <v/>
      </c>
      <c r="T164" s="18">
        <f>IF(OR($B164="",$H164="",$H164=0,$G164=""),"",$R164/$H164)</f>
        <v/>
      </c>
      <c r="U164" s="11">
        <f>IF($B164="","",IF($T164="","Add value and hours",IF($T164&gt;=Settings!$B$4*Settings!$B$8,"Worth it",IF($T164&gt;=Settings!$B$4,"Thin","Skip?"))))</f>
        <v/>
      </c>
    </row>
    <row r="165">
      <c r="A165" s="10" t="n"/>
      <c r="B165" s="10" t="n"/>
      <c r="C165" s="10" t="n"/>
      <c r="D165" s="10" t="n"/>
      <c r="E165" s="19" t="n"/>
      <c r="F165" s="19" t="n"/>
      <c r="G165" s="8" t="n"/>
      <c r="H165" s="10" t="n"/>
      <c r="I165" s="10" t="n"/>
      <c r="J165" s="19" t="n"/>
      <c r="K165" s="19" t="n"/>
      <c r="L165" s="10" t="n"/>
      <c r="M165" s="10" t="n"/>
      <c r="N165" s="7">
        <f>IF(OR($F165="",$B165=""),"",$F165-TODAY())</f>
        <v/>
      </c>
      <c r="O165" s="7">
        <f>IF($B165="","",IF(OR($I165="Won",$I165="Lost",$I165="No bid",$I165="Submitted"),"",IF($F165="","No due date",IF($F165&lt;TODAY(),"OVERDUE",IF($F165-TODAY()&lt;=Settings!$B$10,"Due soon","")))))</f>
        <v/>
      </c>
      <c r="P165" s="7">
        <f>IF($B165="","",IF(AND($I165="Submitted",$J165&lt;&gt;"",TODAY()-$J165&gt;Settings!$B$9),"Follow up",""))</f>
        <v/>
      </c>
      <c r="Q165" s="17">
        <f>IF($B165="","",IF((COUNTIFS($D$2:$D$200,$D165,$I$2:$I$200,"Won")+COUNTIFS($D$2:$D$200,$D165,$I$2:$I$200,"Lost"))&gt;=Settings!$B$7,COUNTIFS($D$2:$D$200,$D165,$I$2:$I$200,"Won")/(COUNTIFS($D$2:$D$200,$D165,$I$2:$I$200,"Won")+COUNTIFS($D$2:$D$200,$D165,$I$2:$I$200,"Lost")),IF((COUNTIF($I$2:$I$200,"Won")+COUNTIF($I$2:$I$200,"Lost"))&gt;0,COUNTIF($I$2:$I$200,"Won")/(COUNTIF($I$2:$I$200,"Won")+COUNTIF($I$2:$I$200,"Lost")),Settings!$B$6)))</f>
        <v/>
      </c>
      <c r="R165" s="18">
        <f>IF(OR($B165="",$G165=""),"",$G165*$Q165)</f>
        <v/>
      </c>
      <c r="S165" s="18">
        <f>IF(OR($B165="",$H165=""),"",$H165*Settings!$B$4)</f>
        <v/>
      </c>
      <c r="T165" s="18">
        <f>IF(OR($B165="",$H165="",$H165=0,$G165=""),"",$R165/$H165)</f>
        <v/>
      </c>
      <c r="U165" s="11">
        <f>IF($B165="","",IF($T165="","Add value and hours",IF($T165&gt;=Settings!$B$4*Settings!$B$8,"Worth it",IF($T165&gt;=Settings!$B$4,"Thin","Skip?"))))</f>
        <v/>
      </c>
    </row>
    <row r="166">
      <c r="A166" s="10" t="n"/>
      <c r="B166" s="10" t="n"/>
      <c r="C166" s="10" t="n"/>
      <c r="D166" s="10" t="n"/>
      <c r="E166" s="19" t="n"/>
      <c r="F166" s="19" t="n"/>
      <c r="G166" s="8" t="n"/>
      <c r="H166" s="10" t="n"/>
      <c r="I166" s="10" t="n"/>
      <c r="J166" s="19" t="n"/>
      <c r="K166" s="19" t="n"/>
      <c r="L166" s="10" t="n"/>
      <c r="M166" s="10" t="n"/>
      <c r="N166" s="7">
        <f>IF(OR($F166="",$B166=""),"",$F166-TODAY())</f>
        <v/>
      </c>
      <c r="O166" s="7">
        <f>IF($B166="","",IF(OR($I166="Won",$I166="Lost",$I166="No bid",$I166="Submitted"),"",IF($F166="","No due date",IF($F166&lt;TODAY(),"OVERDUE",IF($F166-TODAY()&lt;=Settings!$B$10,"Due soon","")))))</f>
        <v/>
      </c>
      <c r="P166" s="7">
        <f>IF($B166="","",IF(AND($I166="Submitted",$J166&lt;&gt;"",TODAY()-$J166&gt;Settings!$B$9),"Follow up",""))</f>
        <v/>
      </c>
      <c r="Q166" s="17">
        <f>IF($B166="","",IF((COUNTIFS($D$2:$D$200,$D166,$I$2:$I$200,"Won")+COUNTIFS($D$2:$D$200,$D166,$I$2:$I$200,"Lost"))&gt;=Settings!$B$7,COUNTIFS($D$2:$D$200,$D166,$I$2:$I$200,"Won")/(COUNTIFS($D$2:$D$200,$D166,$I$2:$I$200,"Won")+COUNTIFS($D$2:$D$200,$D166,$I$2:$I$200,"Lost")),IF((COUNTIF($I$2:$I$200,"Won")+COUNTIF($I$2:$I$200,"Lost"))&gt;0,COUNTIF($I$2:$I$200,"Won")/(COUNTIF($I$2:$I$200,"Won")+COUNTIF($I$2:$I$200,"Lost")),Settings!$B$6)))</f>
        <v/>
      </c>
      <c r="R166" s="18">
        <f>IF(OR($B166="",$G166=""),"",$G166*$Q166)</f>
        <v/>
      </c>
      <c r="S166" s="18">
        <f>IF(OR($B166="",$H166=""),"",$H166*Settings!$B$4)</f>
        <v/>
      </c>
      <c r="T166" s="18">
        <f>IF(OR($B166="",$H166="",$H166=0,$G166=""),"",$R166/$H166)</f>
        <v/>
      </c>
      <c r="U166" s="11">
        <f>IF($B166="","",IF($T166="","Add value and hours",IF($T166&gt;=Settings!$B$4*Settings!$B$8,"Worth it",IF($T166&gt;=Settings!$B$4,"Thin","Skip?"))))</f>
        <v/>
      </c>
    </row>
    <row r="167">
      <c r="A167" s="10" t="n"/>
      <c r="B167" s="10" t="n"/>
      <c r="C167" s="10" t="n"/>
      <c r="D167" s="10" t="n"/>
      <c r="E167" s="19" t="n"/>
      <c r="F167" s="19" t="n"/>
      <c r="G167" s="8" t="n"/>
      <c r="H167" s="10" t="n"/>
      <c r="I167" s="10" t="n"/>
      <c r="J167" s="19" t="n"/>
      <c r="K167" s="19" t="n"/>
      <c r="L167" s="10" t="n"/>
      <c r="M167" s="10" t="n"/>
      <c r="N167" s="7">
        <f>IF(OR($F167="",$B167=""),"",$F167-TODAY())</f>
        <v/>
      </c>
      <c r="O167" s="7">
        <f>IF($B167="","",IF(OR($I167="Won",$I167="Lost",$I167="No bid",$I167="Submitted"),"",IF($F167="","No due date",IF($F167&lt;TODAY(),"OVERDUE",IF($F167-TODAY()&lt;=Settings!$B$10,"Due soon","")))))</f>
        <v/>
      </c>
      <c r="P167" s="7">
        <f>IF($B167="","",IF(AND($I167="Submitted",$J167&lt;&gt;"",TODAY()-$J167&gt;Settings!$B$9),"Follow up",""))</f>
        <v/>
      </c>
      <c r="Q167" s="17">
        <f>IF($B167="","",IF((COUNTIFS($D$2:$D$200,$D167,$I$2:$I$200,"Won")+COUNTIFS($D$2:$D$200,$D167,$I$2:$I$200,"Lost"))&gt;=Settings!$B$7,COUNTIFS($D$2:$D$200,$D167,$I$2:$I$200,"Won")/(COUNTIFS($D$2:$D$200,$D167,$I$2:$I$200,"Won")+COUNTIFS($D$2:$D$200,$D167,$I$2:$I$200,"Lost")),IF((COUNTIF($I$2:$I$200,"Won")+COUNTIF($I$2:$I$200,"Lost"))&gt;0,COUNTIF($I$2:$I$200,"Won")/(COUNTIF($I$2:$I$200,"Won")+COUNTIF($I$2:$I$200,"Lost")),Settings!$B$6)))</f>
        <v/>
      </c>
      <c r="R167" s="18">
        <f>IF(OR($B167="",$G167=""),"",$G167*$Q167)</f>
        <v/>
      </c>
      <c r="S167" s="18">
        <f>IF(OR($B167="",$H167=""),"",$H167*Settings!$B$4)</f>
        <v/>
      </c>
      <c r="T167" s="18">
        <f>IF(OR($B167="",$H167="",$H167=0,$G167=""),"",$R167/$H167)</f>
        <v/>
      </c>
      <c r="U167" s="11">
        <f>IF($B167="","",IF($T167="","Add value and hours",IF($T167&gt;=Settings!$B$4*Settings!$B$8,"Worth it",IF($T167&gt;=Settings!$B$4,"Thin","Skip?"))))</f>
        <v/>
      </c>
    </row>
    <row r="168">
      <c r="A168" s="10" t="n"/>
      <c r="B168" s="10" t="n"/>
      <c r="C168" s="10" t="n"/>
      <c r="D168" s="10" t="n"/>
      <c r="E168" s="19" t="n"/>
      <c r="F168" s="19" t="n"/>
      <c r="G168" s="8" t="n"/>
      <c r="H168" s="10" t="n"/>
      <c r="I168" s="10" t="n"/>
      <c r="J168" s="19" t="n"/>
      <c r="K168" s="19" t="n"/>
      <c r="L168" s="10" t="n"/>
      <c r="M168" s="10" t="n"/>
      <c r="N168" s="7">
        <f>IF(OR($F168="",$B168=""),"",$F168-TODAY())</f>
        <v/>
      </c>
      <c r="O168" s="7">
        <f>IF($B168="","",IF(OR($I168="Won",$I168="Lost",$I168="No bid",$I168="Submitted"),"",IF($F168="","No due date",IF($F168&lt;TODAY(),"OVERDUE",IF($F168-TODAY()&lt;=Settings!$B$10,"Due soon","")))))</f>
        <v/>
      </c>
      <c r="P168" s="7">
        <f>IF($B168="","",IF(AND($I168="Submitted",$J168&lt;&gt;"",TODAY()-$J168&gt;Settings!$B$9),"Follow up",""))</f>
        <v/>
      </c>
      <c r="Q168" s="17">
        <f>IF($B168="","",IF((COUNTIFS($D$2:$D$200,$D168,$I$2:$I$200,"Won")+COUNTIFS($D$2:$D$200,$D168,$I$2:$I$200,"Lost"))&gt;=Settings!$B$7,COUNTIFS($D$2:$D$200,$D168,$I$2:$I$200,"Won")/(COUNTIFS($D$2:$D$200,$D168,$I$2:$I$200,"Won")+COUNTIFS($D$2:$D$200,$D168,$I$2:$I$200,"Lost")),IF((COUNTIF($I$2:$I$200,"Won")+COUNTIF($I$2:$I$200,"Lost"))&gt;0,COUNTIF($I$2:$I$200,"Won")/(COUNTIF($I$2:$I$200,"Won")+COUNTIF($I$2:$I$200,"Lost")),Settings!$B$6)))</f>
        <v/>
      </c>
      <c r="R168" s="18">
        <f>IF(OR($B168="",$G168=""),"",$G168*$Q168)</f>
        <v/>
      </c>
      <c r="S168" s="18">
        <f>IF(OR($B168="",$H168=""),"",$H168*Settings!$B$4)</f>
        <v/>
      </c>
      <c r="T168" s="18">
        <f>IF(OR($B168="",$H168="",$H168=0,$G168=""),"",$R168/$H168)</f>
        <v/>
      </c>
      <c r="U168" s="11">
        <f>IF($B168="","",IF($T168="","Add value and hours",IF($T168&gt;=Settings!$B$4*Settings!$B$8,"Worth it",IF($T168&gt;=Settings!$B$4,"Thin","Skip?"))))</f>
        <v/>
      </c>
    </row>
    <row r="169">
      <c r="A169" s="10" t="n"/>
      <c r="B169" s="10" t="n"/>
      <c r="C169" s="10" t="n"/>
      <c r="D169" s="10" t="n"/>
      <c r="E169" s="19" t="n"/>
      <c r="F169" s="19" t="n"/>
      <c r="G169" s="8" t="n"/>
      <c r="H169" s="10" t="n"/>
      <c r="I169" s="10" t="n"/>
      <c r="J169" s="19" t="n"/>
      <c r="K169" s="19" t="n"/>
      <c r="L169" s="10" t="n"/>
      <c r="M169" s="10" t="n"/>
      <c r="N169" s="7">
        <f>IF(OR($F169="",$B169=""),"",$F169-TODAY())</f>
        <v/>
      </c>
      <c r="O169" s="7">
        <f>IF($B169="","",IF(OR($I169="Won",$I169="Lost",$I169="No bid",$I169="Submitted"),"",IF($F169="","No due date",IF($F169&lt;TODAY(),"OVERDUE",IF($F169-TODAY()&lt;=Settings!$B$10,"Due soon","")))))</f>
        <v/>
      </c>
      <c r="P169" s="7">
        <f>IF($B169="","",IF(AND($I169="Submitted",$J169&lt;&gt;"",TODAY()-$J169&gt;Settings!$B$9),"Follow up",""))</f>
        <v/>
      </c>
      <c r="Q169" s="17">
        <f>IF($B169="","",IF((COUNTIFS($D$2:$D$200,$D169,$I$2:$I$200,"Won")+COUNTIFS($D$2:$D$200,$D169,$I$2:$I$200,"Lost"))&gt;=Settings!$B$7,COUNTIFS($D$2:$D$200,$D169,$I$2:$I$200,"Won")/(COUNTIFS($D$2:$D$200,$D169,$I$2:$I$200,"Won")+COUNTIFS($D$2:$D$200,$D169,$I$2:$I$200,"Lost")),IF((COUNTIF($I$2:$I$200,"Won")+COUNTIF($I$2:$I$200,"Lost"))&gt;0,COUNTIF($I$2:$I$200,"Won")/(COUNTIF($I$2:$I$200,"Won")+COUNTIF($I$2:$I$200,"Lost")),Settings!$B$6)))</f>
        <v/>
      </c>
      <c r="R169" s="18">
        <f>IF(OR($B169="",$G169=""),"",$G169*$Q169)</f>
        <v/>
      </c>
      <c r="S169" s="18">
        <f>IF(OR($B169="",$H169=""),"",$H169*Settings!$B$4)</f>
        <v/>
      </c>
      <c r="T169" s="18">
        <f>IF(OR($B169="",$H169="",$H169=0,$G169=""),"",$R169/$H169)</f>
        <v/>
      </c>
      <c r="U169" s="11">
        <f>IF($B169="","",IF($T169="","Add value and hours",IF($T169&gt;=Settings!$B$4*Settings!$B$8,"Worth it",IF($T169&gt;=Settings!$B$4,"Thin","Skip?"))))</f>
        <v/>
      </c>
    </row>
    <row r="170">
      <c r="A170" s="10" t="n"/>
      <c r="B170" s="10" t="n"/>
      <c r="C170" s="10" t="n"/>
      <c r="D170" s="10" t="n"/>
      <c r="E170" s="19" t="n"/>
      <c r="F170" s="19" t="n"/>
      <c r="G170" s="8" t="n"/>
      <c r="H170" s="10" t="n"/>
      <c r="I170" s="10" t="n"/>
      <c r="J170" s="19" t="n"/>
      <c r="K170" s="19" t="n"/>
      <c r="L170" s="10" t="n"/>
      <c r="M170" s="10" t="n"/>
      <c r="N170" s="7">
        <f>IF(OR($F170="",$B170=""),"",$F170-TODAY())</f>
        <v/>
      </c>
      <c r="O170" s="7">
        <f>IF($B170="","",IF(OR($I170="Won",$I170="Lost",$I170="No bid",$I170="Submitted"),"",IF($F170="","No due date",IF($F170&lt;TODAY(),"OVERDUE",IF($F170-TODAY()&lt;=Settings!$B$10,"Due soon","")))))</f>
        <v/>
      </c>
      <c r="P170" s="7">
        <f>IF($B170="","",IF(AND($I170="Submitted",$J170&lt;&gt;"",TODAY()-$J170&gt;Settings!$B$9),"Follow up",""))</f>
        <v/>
      </c>
      <c r="Q170" s="17">
        <f>IF($B170="","",IF((COUNTIFS($D$2:$D$200,$D170,$I$2:$I$200,"Won")+COUNTIFS($D$2:$D$200,$D170,$I$2:$I$200,"Lost"))&gt;=Settings!$B$7,COUNTIFS($D$2:$D$200,$D170,$I$2:$I$200,"Won")/(COUNTIFS($D$2:$D$200,$D170,$I$2:$I$200,"Won")+COUNTIFS($D$2:$D$200,$D170,$I$2:$I$200,"Lost")),IF((COUNTIF($I$2:$I$200,"Won")+COUNTIF($I$2:$I$200,"Lost"))&gt;0,COUNTIF($I$2:$I$200,"Won")/(COUNTIF($I$2:$I$200,"Won")+COUNTIF($I$2:$I$200,"Lost")),Settings!$B$6)))</f>
        <v/>
      </c>
      <c r="R170" s="18">
        <f>IF(OR($B170="",$G170=""),"",$G170*$Q170)</f>
        <v/>
      </c>
      <c r="S170" s="18">
        <f>IF(OR($B170="",$H170=""),"",$H170*Settings!$B$4)</f>
        <v/>
      </c>
      <c r="T170" s="18">
        <f>IF(OR($B170="",$H170="",$H170=0,$G170=""),"",$R170/$H170)</f>
        <v/>
      </c>
      <c r="U170" s="11">
        <f>IF($B170="","",IF($T170="","Add value and hours",IF($T170&gt;=Settings!$B$4*Settings!$B$8,"Worth it",IF($T170&gt;=Settings!$B$4,"Thin","Skip?"))))</f>
        <v/>
      </c>
    </row>
    <row r="171">
      <c r="A171" s="10" t="n"/>
      <c r="B171" s="10" t="n"/>
      <c r="C171" s="10" t="n"/>
      <c r="D171" s="10" t="n"/>
      <c r="E171" s="19" t="n"/>
      <c r="F171" s="19" t="n"/>
      <c r="G171" s="8" t="n"/>
      <c r="H171" s="10" t="n"/>
      <c r="I171" s="10" t="n"/>
      <c r="J171" s="19" t="n"/>
      <c r="K171" s="19" t="n"/>
      <c r="L171" s="10" t="n"/>
      <c r="M171" s="10" t="n"/>
      <c r="N171" s="7">
        <f>IF(OR($F171="",$B171=""),"",$F171-TODAY())</f>
        <v/>
      </c>
      <c r="O171" s="7">
        <f>IF($B171="","",IF(OR($I171="Won",$I171="Lost",$I171="No bid",$I171="Submitted"),"",IF($F171="","No due date",IF($F171&lt;TODAY(),"OVERDUE",IF($F171-TODAY()&lt;=Settings!$B$10,"Due soon","")))))</f>
        <v/>
      </c>
      <c r="P171" s="7">
        <f>IF($B171="","",IF(AND($I171="Submitted",$J171&lt;&gt;"",TODAY()-$J171&gt;Settings!$B$9),"Follow up",""))</f>
        <v/>
      </c>
      <c r="Q171" s="17">
        <f>IF($B171="","",IF((COUNTIFS($D$2:$D$200,$D171,$I$2:$I$200,"Won")+COUNTIFS($D$2:$D$200,$D171,$I$2:$I$200,"Lost"))&gt;=Settings!$B$7,COUNTIFS($D$2:$D$200,$D171,$I$2:$I$200,"Won")/(COUNTIFS($D$2:$D$200,$D171,$I$2:$I$200,"Won")+COUNTIFS($D$2:$D$200,$D171,$I$2:$I$200,"Lost")),IF((COUNTIF($I$2:$I$200,"Won")+COUNTIF($I$2:$I$200,"Lost"))&gt;0,COUNTIF($I$2:$I$200,"Won")/(COUNTIF($I$2:$I$200,"Won")+COUNTIF($I$2:$I$200,"Lost")),Settings!$B$6)))</f>
        <v/>
      </c>
      <c r="R171" s="18">
        <f>IF(OR($B171="",$G171=""),"",$G171*$Q171)</f>
        <v/>
      </c>
      <c r="S171" s="18">
        <f>IF(OR($B171="",$H171=""),"",$H171*Settings!$B$4)</f>
        <v/>
      </c>
      <c r="T171" s="18">
        <f>IF(OR($B171="",$H171="",$H171=0,$G171=""),"",$R171/$H171)</f>
        <v/>
      </c>
      <c r="U171" s="11">
        <f>IF($B171="","",IF($T171="","Add value and hours",IF($T171&gt;=Settings!$B$4*Settings!$B$8,"Worth it",IF($T171&gt;=Settings!$B$4,"Thin","Skip?"))))</f>
        <v/>
      </c>
    </row>
    <row r="172">
      <c r="A172" s="10" t="n"/>
      <c r="B172" s="10" t="n"/>
      <c r="C172" s="10" t="n"/>
      <c r="D172" s="10" t="n"/>
      <c r="E172" s="19" t="n"/>
      <c r="F172" s="19" t="n"/>
      <c r="G172" s="8" t="n"/>
      <c r="H172" s="10" t="n"/>
      <c r="I172" s="10" t="n"/>
      <c r="J172" s="19" t="n"/>
      <c r="K172" s="19" t="n"/>
      <c r="L172" s="10" t="n"/>
      <c r="M172" s="10" t="n"/>
      <c r="N172" s="7">
        <f>IF(OR($F172="",$B172=""),"",$F172-TODAY())</f>
        <v/>
      </c>
      <c r="O172" s="7">
        <f>IF($B172="","",IF(OR($I172="Won",$I172="Lost",$I172="No bid",$I172="Submitted"),"",IF($F172="","No due date",IF($F172&lt;TODAY(),"OVERDUE",IF($F172-TODAY()&lt;=Settings!$B$10,"Due soon","")))))</f>
        <v/>
      </c>
      <c r="P172" s="7">
        <f>IF($B172="","",IF(AND($I172="Submitted",$J172&lt;&gt;"",TODAY()-$J172&gt;Settings!$B$9),"Follow up",""))</f>
        <v/>
      </c>
      <c r="Q172" s="17">
        <f>IF($B172="","",IF((COUNTIFS($D$2:$D$200,$D172,$I$2:$I$200,"Won")+COUNTIFS($D$2:$D$200,$D172,$I$2:$I$200,"Lost"))&gt;=Settings!$B$7,COUNTIFS($D$2:$D$200,$D172,$I$2:$I$200,"Won")/(COUNTIFS($D$2:$D$200,$D172,$I$2:$I$200,"Won")+COUNTIFS($D$2:$D$200,$D172,$I$2:$I$200,"Lost")),IF((COUNTIF($I$2:$I$200,"Won")+COUNTIF($I$2:$I$200,"Lost"))&gt;0,COUNTIF($I$2:$I$200,"Won")/(COUNTIF($I$2:$I$200,"Won")+COUNTIF($I$2:$I$200,"Lost")),Settings!$B$6)))</f>
        <v/>
      </c>
      <c r="R172" s="18">
        <f>IF(OR($B172="",$G172=""),"",$G172*$Q172)</f>
        <v/>
      </c>
      <c r="S172" s="18">
        <f>IF(OR($B172="",$H172=""),"",$H172*Settings!$B$4)</f>
        <v/>
      </c>
      <c r="T172" s="18">
        <f>IF(OR($B172="",$H172="",$H172=0,$G172=""),"",$R172/$H172)</f>
        <v/>
      </c>
      <c r="U172" s="11">
        <f>IF($B172="","",IF($T172="","Add value and hours",IF($T172&gt;=Settings!$B$4*Settings!$B$8,"Worth it",IF($T172&gt;=Settings!$B$4,"Thin","Skip?"))))</f>
        <v/>
      </c>
    </row>
    <row r="173">
      <c r="A173" s="10" t="n"/>
      <c r="B173" s="10" t="n"/>
      <c r="C173" s="10" t="n"/>
      <c r="D173" s="10" t="n"/>
      <c r="E173" s="19" t="n"/>
      <c r="F173" s="19" t="n"/>
      <c r="G173" s="8" t="n"/>
      <c r="H173" s="10" t="n"/>
      <c r="I173" s="10" t="n"/>
      <c r="J173" s="19" t="n"/>
      <c r="K173" s="19" t="n"/>
      <c r="L173" s="10" t="n"/>
      <c r="M173" s="10" t="n"/>
      <c r="N173" s="7">
        <f>IF(OR($F173="",$B173=""),"",$F173-TODAY())</f>
        <v/>
      </c>
      <c r="O173" s="7">
        <f>IF($B173="","",IF(OR($I173="Won",$I173="Lost",$I173="No bid",$I173="Submitted"),"",IF($F173="","No due date",IF($F173&lt;TODAY(),"OVERDUE",IF($F173-TODAY()&lt;=Settings!$B$10,"Due soon","")))))</f>
        <v/>
      </c>
      <c r="P173" s="7">
        <f>IF($B173="","",IF(AND($I173="Submitted",$J173&lt;&gt;"",TODAY()-$J173&gt;Settings!$B$9),"Follow up",""))</f>
        <v/>
      </c>
      <c r="Q173" s="17">
        <f>IF($B173="","",IF((COUNTIFS($D$2:$D$200,$D173,$I$2:$I$200,"Won")+COUNTIFS($D$2:$D$200,$D173,$I$2:$I$200,"Lost"))&gt;=Settings!$B$7,COUNTIFS($D$2:$D$200,$D173,$I$2:$I$200,"Won")/(COUNTIFS($D$2:$D$200,$D173,$I$2:$I$200,"Won")+COUNTIFS($D$2:$D$200,$D173,$I$2:$I$200,"Lost")),IF((COUNTIF($I$2:$I$200,"Won")+COUNTIF($I$2:$I$200,"Lost"))&gt;0,COUNTIF($I$2:$I$200,"Won")/(COUNTIF($I$2:$I$200,"Won")+COUNTIF($I$2:$I$200,"Lost")),Settings!$B$6)))</f>
        <v/>
      </c>
      <c r="R173" s="18">
        <f>IF(OR($B173="",$G173=""),"",$G173*$Q173)</f>
        <v/>
      </c>
      <c r="S173" s="18">
        <f>IF(OR($B173="",$H173=""),"",$H173*Settings!$B$4)</f>
        <v/>
      </c>
      <c r="T173" s="18">
        <f>IF(OR($B173="",$H173="",$H173=0,$G173=""),"",$R173/$H173)</f>
        <v/>
      </c>
      <c r="U173" s="11">
        <f>IF($B173="","",IF($T173="","Add value and hours",IF($T173&gt;=Settings!$B$4*Settings!$B$8,"Worth it",IF($T173&gt;=Settings!$B$4,"Thin","Skip?"))))</f>
        <v/>
      </c>
    </row>
    <row r="174">
      <c r="A174" s="10" t="n"/>
      <c r="B174" s="10" t="n"/>
      <c r="C174" s="10" t="n"/>
      <c r="D174" s="10" t="n"/>
      <c r="E174" s="19" t="n"/>
      <c r="F174" s="19" t="n"/>
      <c r="G174" s="8" t="n"/>
      <c r="H174" s="10" t="n"/>
      <c r="I174" s="10" t="n"/>
      <c r="J174" s="19" t="n"/>
      <c r="K174" s="19" t="n"/>
      <c r="L174" s="10" t="n"/>
      <c r="M174" s="10" t="n"/>
      <c r="N174" s="7">
        <f>IF(OR($F174="",$B174=""),"",$F174-TODAY())</f>
        <v/>
      </c>
      <c r="O174" s="7">
        <f>IF($B174="","",IF(OR($I174="Won",$I174="Lost",$I174="No bid",$I174="Submitted"),"",IF($F174="","No due date",IF($F174&lt;TODAY(),"OVERDUE",IF($F174-TODAY()&lt;=Settings!$B$10,"Due soon","")))))</f>
        <v/>
      </c>
      <c r="P174" s="7">
        <f>IF($B174="","",IF(AND($I174="Submitted",$J174&lt;&gt;"",TODAY()-$J174&gt;Settings!$B$9),"Follow up",""))</f>
        <v/>
      </c>
      <c r="Q174" s="17">
        <f>IF($B174="","",IF((COUNTIFS($D$2:$D$200,$D174,$I$2:$I$200,"Won")+COUNTIFS($D$2:$D$200,$D174,$I$2:$I$200,"Lost"))&gt;=Settings!$B$7,COUNTIFS($D$2:$D$200,$D174,$I$2:$I$200,"Won")/(COUNTIFS($D$2:$D$200,$D174,$I$2:$I$200,"Won")+COUNTIFS($D$2:$D$200,$D174,$I$2:$I$200,"Lost")),IF((COUNTIF($I$2:$I$200,"Won")+COUNTIF($I$2:$I$200,"Lost"))&gt;0,COUNTIF($I$2:$I$200,"Won")/(COUNTIF($I$2:$I$200,"Won")+COUNTIF($I$2:$I$200,"Lost")),Settings!$B$6)))</f>
        <v/>
      </c>
      <c r="R174" s="18">
        <f>IF(OR($B174="",$G174=""),"",$G174*$Q174)</f>
        <v/>
      </c>
      <c r="S174" s="18">
        <f>IF(OR($B174="",$H174=""),"",$H174*Settings!$B$4)</f>
        <v/>
      </c>
      <c r="T174" s="18">
        <f>IF(OR($B174="",$H174="",$H174=0,$G174=""),"",$R174/$H174)</f>
        <v/>
      </c>
      <c r="U174" s="11">
        <f>IF($B174="","",IF($T174="","Add value and hours",IF($T174&gt;=Settings!$B$4*Settings!$B$8,"Worth it",IF($T174&gt;=Settings!$B$4,"Thin","Skip?"))))</f>
        <v/>
      </c>
    </row>
    <row r="175">
      <c r="A175" s="10" t="n"/>
      <c r="B175" s="10" t="n"/>
      <c r="C175" s="10" t="n"/>
      <c r="D175" s="10" t="n"/>
      <c r="E175" s="19" t="n"/>
      <c r="F175" s="19" t="n"/>
      <c r="G175" s="8" t="n"/>
      <c r="H175" s="10" t="n"/>
      <c r="I175" s="10" t="n"/>
      <c r="J175" s="19" t="n"/>
      <c r="K175" s="19" t="n"/>
      <c r="L175" s="10" t="n"/>
      <c r="M175" s="10" t="n"/>
      <c r="N175" s="7">
        <f>IF(OR($F175="",$B175=""),"",$F175-TODAY())</f>
        <v/>
      </c>
      <c r="O175" s="7">
        <f>IF($B175="","",IF(OR($I175="Won",$I175="Lost",$I175="No bid",$I175="Submitted"),"",IF($F175="","No due date",IF($F175&lt;TODAY(),"OVERDUE",IF($F175-TODAY()&lt;=Settings!$B$10,"Due soon","")))))</f>
        <v/>
      </c>
      <c r="P175" s="7">
        <f>IF($B175="","",IF(AND($I175="Submitted",$J175&lt;&gt;"",TODAY()-$J175&gt;Settings!$B$9),"Follow up",""))</f>
        <v/>
      </c>
      <c r="Q175" s="17">
        <f>IF($B175="","",IF((COUNTIFS($D$2:$D$200,$D175,$I$2:$I$200,"Won")+COUNTIFS($D$2:$D$200,$D175,$I$2:$I$200,"Lost"))&gt;=Settings!$B$7,COUNTIFS($D$2:$D$200,$D175,$I$2:$I$200,"Won")/(COUNTIFS($D$2:$D$200,$D175,$I$2:$I$200,"Won")+COUNTIFS($D$2:$D$200,$D175,$I$2:$I$200,"Lost")),IF((COUNTIF($I$2:$I$200,"Won")+COUNTIF($I$2:$I$200,"Lost"))&gt;0,COUNTIF($I$2:$I$200,"Won")/(COUNTIF($I$2:$I$200,"Won")+COUNTIF($I$2:$I$200,"Lost")),Settings!$B$6)))</f>
        <v/>
      </c>
      <c r="R175" s="18">
        <f>IF(OR($B175="",$G175=""),"",$G175*$Q175)</f>
        <v/>
      </c>
      <c r="S175" s="18">
        <f>IF(OR($B175="",$H175=""),"",$H175*Settings!$B$4)</f>
        <v/>
      </c>
      <c r="T175" s="18">
        <f>IF(OR($B175="",$H175="",$H175=0,$G175=""),"",$R175/$H175)</f>
        <v/>
      </c>
      <c r="U175" s="11">
        <f>IF($B175="","",IF($T175="","Add value and hours",IF($T175&gt;=Settings!$B$4*Settings!$B$8,"Worth it",IF($T175&gt;=Settings!$B$4,"Thin","Skip?"))))</f>
        <v/>
      </c>
    </row>
    <row r="176">
      <c r="A176" s="10" t="n"/>
      <c r="B176" s="10" t="n"/>
      <c r="C176" s="10" t="n"/>
      <c r="D176" s="10" t="n"/>
      <c r="E176" s="19" t="n"/>
      <c r="F176" s="19" t="n"/>
      <c r="G176" s="8" t="n"/>
      <c r="H176" s="10" t="n"/>
      <c r="I176" s="10" t="n"/>
      <c r="J176" s="19" t="n"/>
      <c r="K176" s="19" t="n"/>
      <c r="L176" s="10" t="n"/>
      <c r="M176" s="10" t="n"/>
      <c r="N176" s="7">
        <f>IF(OR($F176="",$B176=""),"",$F176-TODAY())</f>
        <v/>
      </c>
      <c r="O176" s="7">
        <f>IF($B176="","",IF(OR($I176="Won",$I176="Lost",$I176="No bid",$I176="Submitted"),"",IF($F176="","No due date",IF($F176&lt;TODAY(),"OVERDUE",IF($F176-TODAY()&lt;=Settings!$B$10,"Due soon","")))))</f>
        <v/>
      </c>
      <c r="P176" s="7">
        <f>IF($B176="","",IF(AND($I176="Submitted",$J176&lt;&gt;"",TODAY()-$J176&gt;Settings!$B$9),"Follow up",""))</f>
        <v/>
      </c>
      <c r="Q176" s="17">
        <f>IF($B176="","",IF((COUNTIFS($D$2:$D$200,$D176,$I$2:$I$200,"Won")+COUNTIFS($D$2:$D$200,$D176,$I$2:$I$200,"Lost"))&gt;=Settings!$B$7,COUNTIFS($D$2:$D$200,$D176,$I$2:$I$200,"Won")/(COUNTIFS($D$2:$D$200,$D176,$I$2:$I$200,"Won")+COUNTIFS($D$2:$D$200,$D176,$I$2:$I$200,"Lost")),IF((COUNTIF($I$2:$I$200,"Won")+COUNTIF($I$2:$I$200,"Lost"))&gt;0,COUNTIF($I$2:$I$200,"Won")/(COUNTIF($I$2:$I$200,"Won")+COUNTIF($I$2:$I$200,"Lost")),Settings!$B$6)))</f>
        <v/>
      </c>
      <c r="R176" s="18">
        <f>IF(OR($B176="",$G176=""),"",$G176*$Q176)</f>
        <v/>
      </c>
      <c r="S176" s="18">
        <f>IF(OR($B176="",$H176=""),"",$H176*Settings!$B$4)</f>
        <v/>
      </c>
      <c r="T176" s="18">
        <f>IF(OR($B176="",$H176="",$H176=0,$G176=""),"",$R176/$H176)</f>
        <v/>
      </c>
      <c r="U176" s="11">
        <f>IF($B176="","",IF($T176="","Add value and hours",IF($T176&gt;=Settings!$B$4*Settings!$B$8,"Worth it",IF($T176&gt;=Settings!$B$4,"Thin","Skip?"))))</f>
        <v/>
      </c>
    </row>
    <row r="177">
      <c r="A177" s="10" t="n"/>
      <c r="B177" s="10" t="n"/>
      <c r="C177" s="10" t="n"/>
      <c r="D177" s="10" t="n"/>
      <c r="E177" s="19" t="n"/>
      <c r="F177" s="19" t="n"/>
      <c r="G177" s="8" t="n"/>
      <c r="H177" s="10" t="n"/>
      <c r="I177" s="10" t="n"/>
      <c r="J177" s="19" t="n"/>
      <c r="K177" s="19" t="n"/>
      <c r="L177" s="10" t="n"/>
      <c r="M177" s="10" t="n"/>
      <c r="N177" s="7">
        <f>IF(OR($F177="",$B177=""),"",$F177-TODAY())</f>
        <v/>
      </c>
      <c r="O177" s="7">
        <f>IF($B177="","",IF(OR($I177="Won",$I177="Lost",$I177="No bid",$I177="Submitted"),"",IF($F177="","No due date",IF($F177&lt;TODAY(),"OVERDUE",IF($F177-TODAY()&lt;=Settings!$B$10,"Due soon","")))))</f>
        <v/>
      </c>
      <c r="P177" s="7">
        <f>IF($B177="","",IF(AND($I177="Submitted",$J177&lt;&gt;"",TODAY()-$J177&gt;Settings!$B$9),"Follow up",""))</f>
        <v/>
      </c>
      <c r="Q177" s="17">
        <f>IF($B177="","",IF((COUNTIFS($D$2:$D$200,$D177,$I$2:$I$200,"Won")+COUNTIFS($D$2:$D$200,$D177,$I$2:$I$200,"Lost"))&gt;=Settings!$B$7,COUNTIFS($D$2:$D$200,$D177,$I$2:$I$200,"Won")/(COUNTIFS($D$2:$D$200,$D177,$I$2:$I$200,"Won")+COUNTIFS($D$2:$D$200,$D177,$I$2:$I$200,"Lost")),IF((COUNTIF($I$2:$I$200,"Won")+COUNTIF($I$2:$I$200,"Lost"))&gt;0,COUNTIF($I$2:$I$200,"Won")/(COUNTIF($I$2:$I$200,"Won")+COUNTIF($I$2:$I$200,"Lost")),Settings!$B$6)))</f>
        <v/>
      </c>
      <c r="R177" s="18">
        <f>IF(OR($B177="",$G177=""),"",$G177*$Q177)</f>
        <v/>
      </c>
      <c r="S177" s="18">
        <f>IF(OR($B177="",$H177=""),"",$H177*Settings!$B$4)</f>
        <v/>
      </c>
      <c r="T177" s="18">
        <f>IF(OR($B177="",$H177="",$H177=0,$G177=""),"",$R177/$H177)</f>
        <v/>
      </c>
      <c r="U177" s="11">
        <f>IF($B177="","",IF($T177="","Add value and hours",IF($T177&gt;=Settings!$B$4*Settings!$B$8,"Worth it",IF($T177&gt;=Settings!$B$4,"Thin","Skip?"))))</f>
        <v/>
      </c>
    </row>
    <row r="178">
      <c r="A178" s="10" t="n"/>
      <c r="B178" s="10" t="n"/>
      <c r="C178" s="10" t="n"/>
      <c r="D178" s="10" t="n"/>
      <c r="E178" s="19" t="n"/>
      <c r="F178" s="19" t="n"/>
      <c r="G178" s="8" t="n"/>
      <c r="H178" s="10" t="n"/>
      <c r="I178" s="10" t="n"/>
      <c r="J178" s="19" t="n"/>
      <c r="K178" s="19" t="n"/>
      <c r="L178" s="10" t="n"/>
      <c r="M178" s="10" t="n"/>
      <c r="N178" s="7">
        <f>IF(OR($F178="",$B178=""),"",$F178-TODAY())</f>
        <v/>
      </c>
      <c r="O178" s="7">
        <f>IF($B178="","",IF(OR($I178="Won",$I178="Lost",$I178="No bid",$I178="Submitted"),"",IF($F178="","No due date",IF($F178&lt;TODAY(),"OVERDUE",IF($F178-TODAY()&lt;=Settings!$B$10,"Due soon","")))))</f>
        <v/>
      </c>
      <c r="P178" s="7">
        <f>IF($B178="","",IF(AND($I178="Submitted",$J178&lt;&gt;"",TODAY()-$J178&gt;Settings!$B$9),"Follow up",""))</f>
        <v/>
      </c>
      <c r="Q178" s="17">
        <f>IF($B178="","",IF((COUNTIFS($D$2:$D$200,$D178,$I$2:$I$200,"Won")+COUNTIFS($D$2:$D$200,$D178,$I$2:$I$200,"Lost"))&gt;=Settings!$B$7,COUNTIFS($D$2:$D$200,$D178,$I$2:$I$200,"Won")/(COUNTIFS($D$2:$D$200,$D178,$I$2:$I$200,"Won")+COUNTIFS($D$2:$D$200,$D178,$I$2:$I$200,"Lost")),IF((COUNTIF($I$2:$I$200,"Won")+COUNTIF($I$2:$I$200,"Lost"))&gt;0,COUNTIF($I$2:$I$200,"Won")/(COUNTIF($I$2:$I$200,"Won")+COUNTIF($I$2:$I$200,"Lost")),Settings!$B$6)))</f>
        <v/>
      </c>
      <c r="R178" s="18">
        <f>IF(OR($B178="",$G178=""),"",$G178*$Q178)</f>
        <v/>
      </c>
      <c r="S178" s="18">
        <f>IF(OR($B178="",$H178=""),"",$H178*Settings!$B$4)</f>
        <v/>
      </c>
      <c r="T178" s="18">
        <f>IF(OR($B178="",$H178="",$H178=0,$G178=""),"",$R178/$H178)</f>
        <v/>
      </c>
      <c r="U178" s="11">
        <f>IF($B178="","",IF($T178="","Add value and hours",IF($T178&gt;=Settings!$B$4*Settings!$B$8,"Worth it",IF($T178&gt;=Settings!$B$4,"Thin","Skip?"))))</f>
        <v/>
      </c>
    </row>
    <row r="179">
      <c r="A179" s="10" t="n"/>
      <c r="B179" s="10" t="n"/>
      <c r="C179" s="10" t="n"/>
      <c r="D179" s="10" t="n"/>
      <c r="E179" s="19" t="n"/>
      <c r="F179" s="19" t="n"/>
      <c r="G179" s="8" t="n"/>
      <c r="H179" s="10" t="n"/>
      <c r="I179" s="10" t="n"/>
      <c r="J179" s="19" t="n"/>
      <c r="K179" s="19" t="n"/>
      <c r="L179" s="10" t="n"/>
      <c r="M179" s="10" t="n"/>
      <c r="N179" s="7">
        <f>IF(OR($F179="",$B179=""),"",$F179-TODAY())</f>
        <v/>
      </c>
      <c r="O179" s="7">
        <f>IF($B179="","",IF(OR($I179="Won",$I179="Lost",$I179="No bid",$I179="Submitted"),"",IF($F179="","No due date",IF($F179&lt;TODAY(),"OVERDUE",IF($F179-TODAY()&lt;=Settings!$B$10,"Due soon","")))))</f>
        <v/>
      </c>
      <c r="P179" s="7">
        <f>IF($B179="","",IF(AND($I179="Submitted",$J179&lt;&gt;"",TODAY()-$J179&gt;Settings!$B$9),"Follow up",""))</f>
        <v/>
      </c>
      <c r="Q179" s="17">
        <f>IF($B179="","",IF((COUNTIFS($D$2:$D$200,$D179,$I$2:$I$200,"Won")+COUNTIFS($D$2:$D$200,$D179,$I$2:$I$200,"Lost"))&gt;=Settings!$B$7,COUNTIFS($D$2:$D$200,$D179,$I$2:$I$200,"Won")/(COUNTIFS($D$2:$D$200,$D179,$I$2:$I$200,"Won")+COUNTIFS($D$2:$D$200,$D179,$I$2:$I$200,"Lost")),IF((COUNTIF($I$2:$I$200,"Won")+COUNTIF($I$2:$I$200,"Lost"))&gt;0,COUNTIF($I$2:$I$200,"Won")/(COUNTIF($I$2:$I$200,"Won")+COUNTIF($I$2:$I$200,"Lost")),Settings!$B$6)))</f>
        <v/>
      </c>
      <c r="R179" s="18">
        <f>IF(OR($B179="",$G179=""),"",$G179*$Q179)</f>
        <v/>
      </c>
      <c r="S179" s="18">
        <f>IF(OR($B179="",$H179=""),"",$H179*Settings!$B$4)</f>
        <v/>
      </c>
      <c r="T179" s="18">
        <f>IF(OR($B179="",$H179="",$H179=0,$G179=""),"",$R179/$H179)</f>
        <v/>
      </c>
      <c r="U179" s="11">
        <f>IF($B179="","",IF($T179="","Add value and hours",IF($T179&gt;=Settings!$B$4*Settings!$B$8,"Worth it",IF($T179&gt;=Settings!$B$4,"Thin","Skip?"))))</f>
        <v/>
      </c>
    </row>
    <row r="180">
      <c r="A180" s="10" t="n"/>
      <c r="B180" s="10" t="n"/>
      <c r="C180" s="10" t="n"/>
      <c r="D180" s="10" t="n"/>
      <c r="E180" s="19" t="n"/>
      <c r="F180" s="19" t="n"/>
      <c r="G180" s="8" t="n"/>
      <c r="H180" s="10" t="n"/>
      <c r="I180" s="10" t="n"/>
      <c r="J180" s="19" t="n"/>
      <c r="K180" s="19" t="n"/>
      <c r="L180" s="10" t="n"/>
      <c r="M180" s="10" t="n"/>
      <c r="N180" s="7">
        <f>IF(OR($F180="",$B180=""),"",$F180-TODAY())</f>
        <v/>
      </c>
      <c r="O180" s="7">
        <f>IF($B180="","",IF(OR($I180="Won",$I180="Lost",$I180="No bid",$I180="Submitted"),"",IF($F180="","No due date",IF($F180&lt;TODAY(),"OVERDUE",IF($F180-TODAY()&lt;=Settings!$B$10,"Due soon","")))))</f>
        <v/>
      </c>
      <c r="P180" s="7">
        <f>IF($B180="","",IF(AND($I180="Submitted",$J180&lt;&gt;"",TODAY()-$J180&gt;Settings!$B$9),"Follow up",""))</f>
        <v/>
      </c>
      <c r="Q180" s="17">
        <f>IF($B180="","",IF((COUNTIFS($D$2:$D$200,$D180,$I$2:$I$200,"Won")+COUNTIFS($D$2:$D$200,$D180,$I$2:$I$200,"Lost"))&gt;=Settings!$B$7,COUNTIFS($D$2:$D$200,$D180,$I$2:$I$200,"Won")/(COUNTIFS($D$2:$D$200,$D180,$I$2:$I$200,"Won")+COUNTIFS($D$2:$D$200,$D180,$I$2:$I$200,"Lost")),IF((COUNTIF($I$2:$I$200,"Won")+COUNTIF($I$2:$I$200,"Lost"))&gt;0,COUNTIF($I$2:$I$200,"Won")/(COUNTIF($I$2:$I$200,"Won")+COUNTIF($I$2:$I$200,"Lost")),Settings!$B$6)))</f>
        <v/>
      </c>
      <c r="R180" s="18">
        <f>IF(OR($B180="",$G180=""),"",$G180*$Q180)</f>
        <v/>
      </c>
      <c r="S180" s="18">
        <f>IF(OR($B180="",$H180=""),"",$H180*Settings!$B$4)</f>
        <v/>
      </c>
      <c r="T180" s="18">
        <f>IF(OR($B180="",$H180="",$H180=0,$G180=""),"",$R180/$H180)</f>
        <v/>
      </c>
      <c r="U180" s="11">
        <f>IF($B180="","",IF($T180="","Add value and hours",IF($T180&gt;=Settings!$B$4*Settings!$B$8,"Worth it",IF($T180&gt;=Settings!$B$4,"Thin","Skip?"))))</f>
        <v/>
      </c>
    </row>
    <row r="181">
      <c r="A181" s="10" t="n"/>
      <c r="B181" s="10" t="n"/>
      <c r="C181" s="10" t="n"/>
      <c r="D181" s="10" t="n"/>
      <c r="E181" s="19" t="n"/>
      <c r="F181" s="19" t="n"/>
      <c r="G181" s="8" t="n"/>
      <c r="H181" s="10" t="n"/>
      <c r="I181" s="10" t="n"/>
      <c r="J181" s="19" t="n"/>
      <c r="K181" s="19" t="n"/>
      <c r="L181" s="10" t="n"/>
      <c r="M181" s="10" t="n"/>
      <c r="N181" s="7">
        <f>IF(OR($F181="",$B181=""),"",$F181-TODAY())</f>
        <v/>
      </c>
      <c r="O181" s="7">
        <f>IF($B181="","",IF(OR($I181="Won",$I181="Lost",$I181="No bid",$I181="Submitted"),"",IF($F181="","No due date",IF($F181&lt;TODAY(),"OVERDUE",IF($F181-TODAY()&lt;=Settings!$B$10,"Due soon","")))))</f>
        <v/>
      </c>
      <c r="P181" s="7">
        <f>IF($B181="","",IF(AND($I181="Submitted",$J181&lt;&gt;"",TODAY()-$J181&gt;Settings!$B$9),"Follow up",""))</f>
        <v/>
      </c>
      <c r="Q181" s="17">
        <f>IF($B181="","",IF((COUNTIFS($D$2:$D$200,$D181,$I$2:$I$200,"Won")+COUNTIFS($D$2:$D$200,$D181,$I$2:$I$200,"Lost"))&gt;=Settings!$B$7,COUNTIFS($D$2:$D$200,$D181,$I$2:$I$200,"Won")/(COUNTIFS($D$2:$D$200,$D181,$I$2:$I$200,"Won")+COUNTIFS($D$2:$D$200,$D181,$I$2:$I$200,"Lost")),IF((COUNTIF($I$2:$I$200,"Won")+COUNTIF($I$2:$I$200,"Lost"))&gt;0,COUNTIF($I$2:$I$200,"Won")/(COUNTIF($I$2:$I$200,"Won")+COUNTIF($I$2:$I$200,"Lost")),Settings!$B$6)))</f>
        <v/>
      </c>
      <c r="R181" s="18">
        <f>IF(OR($B181="",$G181=""),"",$G181*$Q181)</f>
        <v/>
      </c>
      <c r="S181" s="18">
        <f>IF(OR($B181="",$H181=""),"",$H181*Settings!$B$4)</f>
        <v/>
      </c>
      <c r="T181" s="18">
        <f>IF(OR($B181="",$H181="",$H181=0,$G181=""),"",$R181/$H181)</f>
        <v/>
      </c>
      <c r="U181" s="11">
        <f>IF($B181="","",IF($T181="","Add value and hours",IF($T181&gt;=Settings!$B$4*Settings!$B$8,"Worth it",IF($T181&gt;=Settings!$B$4,"Thin","Skip?"))))</f>
        <v/>
      </c>
    </row>
    <row r="182">
      <c r="A182" s="10" t="n"/>
      <c r="B182" s="10" t="n"/>
      <c r="C182" s="10" t="n"/>
      <c r="D182" s="10" t="n"/>
      <c r="E182" s="19" t="n"/>
      <c r="F182" s="19" t="n"/>
      <c r="G182" s="8" t="n"/>
      <c r="H182" s="10" t="n"/>
      <c r="I182" s="10" t="n"/>
      <c r="J182" s="19" t="n"/>
      <c r="K182" s="19" t="n"/>
      <c r="L182" s="10" t="n"/>
      <c r="M182" s="10" t="n"/>
      <c r="N182" s="7">
        <f>IF(OR($F182="",$B182=""),"",$F182-TODAY())</f>
        <v/>
      </c>
      <c r="O182" s="7">
        <f>IF($B182="","",IF(OR($I182="Won",$I182="Lost",$I182="No bid",$I182="Submitted"),"",IF($F182="","No due date",IF($F182&lt;TODAY(),"OVERDUE",IF($F182-TODAY()&lt;=Settings!$B$10,"Due soon","")))))</f>
        <v/>
      </c>
      <c r="P182" s="7">
        <f>IF($B182="","",IF(AND($I182="Submitted",$J182&lt;&gt;"",TODAY()-$J182&gt;Settings!$B$9),"Follow up",""))</f>
        <v/>
      </c>
      <c r="Q182" s="17">
        <f>IF($B182="","",IF((COUNTIFS($D$2:$D$200,$D182,$I$2:$I$200,"Won")+COUNTIFS($D$2:$D$200,$D182,$I$2:$I$200,"Lost"))&gt;=Settings!$B$7,COUNTIFS($D$2:$D$200,$D182,$I$2:$I$200,"Won")/(COUNTIFS($D$2:$D$200,$D182,$I$2:$I$200,"Won")+COUNTIFS($D$2:$D$200,$D182,$I$2:$I$200,"Lost")),IF((COUNTIF($I$2:$I$200,"Won")+COUNTIF($I$2:$I$200,"Lost"))&gt;0,COUNTIF($I$2:$I$200,"Won")/(COUNTIF($I$2:$I$200,"Won")+COUNTIF($I$2:$I$200,"Lost")),Settings!$B$6)))</f>
        <v/>
      </c>
      <c r="R182" s="18">
        <f>IF(OR($B182="",$G182=""),"",$G182*$Q182)</f>
        <v/>
      </c>
      <c r="S182" s="18">
        <f>IF(OR($B182="",$H182=""),"",$H182*Settings!$B$4)</f>
        <v/>
      </c>
      <c r="T182" s="18">
        <f>IF(OR($B182="",$H182="",$H182=0,$G182=""),"",$R182/$H182)</f>
        <v/>
      </c>
      <c r="U182" s="11">
        <f>IF($B182="","",IF($T182="","Add value and hours",IF($T182&gt;=Settings!$B$4*Settings!$B$8,"Worth it",IF($T182&gt;=Settings!$B$4,"Thin","Skip?"))))</f>
        <v/>
      </c>
    </row>
    <row r="183">
      <c r="A183" s="10" t="n"/>
      <c r="B183" s="10" t="n"/>
      <c r="C183" s="10" t="n"/>
      <c r="D183" s="10" t="n"/>
      <c r="E183" s="19" t="n"/>
      <c r="F183" s="19" t="n"/>
      <c r="G183" s="8" t="n"/>
      <c r="H183" s="10" t="n"/>
      <c r="I183" s="10" t="n"/>
      <c r="J183" s="19" t="n"/>
      <c r="K183" s="19" t="n"/>
      <c r="L183" s="10" t="n"/>
      <c r="M183" s="10" t="n"/>
      <c r="N183" s="7">
        <f>IF(OR($F183="",$B183=""),"",$F183-TODAY())</f>
        <v/>
      </c>
      <c r="O183" s="7">
        <f>IF($B183="","",IF(OR($I183="Won",$I183="Lost",$I183="No bid",$I183="Submitted"),"",IF($F183="","No due date",IF($F183&lt;TODAY(),"OVERDUE",IF($F183-TODAY()&lt;=Settings!$B$10,"Due soon","")))))</f>
        <v/>
      </c>
      <c r="P183" s="7">
        <f>IF($B183="","",IF(AND($I183="Submitted",$J183&lt;&gt;"",TODAY()-$J183&gt;Settings!$B$9),"Follow up",""))</f>
        <v/>
      </c>
      <c r="Q183" s="17">
        <f>IF($B183="","",IF((COUNTIFS($D$2:$D$200,$D183,$I$2:$I$200,"Won")+COUNTIFS($D$2:$D$200,$D183,$I$2:$I$200,"Lost"))&gt;=Settings!$B$7,COUNTIFS($D$2:$D$200,$D183,$I$2:$I$200,"Won")/(COUNTIFS($D$2:$D$200,$D183,$I$2:$I$200,"Won")+COUNTIFS($D$2:$D$200,$D183,$I$2:$I$200,"Lost")),IF((COUNTIF($I$2:$I$200,"Won")+COUNTIF($I$2:$I$200,"Lost"))&gt;0,COUNTIF($I$2:$I$200,"Won")/(COUNTIF($I$2:$I$200,"Won")+COUNTIF($I$2:$I$200,"Lost")),Settings!$B$6)))</f>
        <v/>
      </c>
      <c r="R183" s="18">
        <f>IF(OR($B183="",$G183=""),"",$G183*$Q183)</f>
        <v/>
      </c>
      <c r="S183" s="18">
        <f>IF(OR($B183="",$H183=""),"",$H183*Settings!$B$4)</f>
        <v/>
      </c>
      <c r="T183" s="18">
        <f>IF(OR($B183="",$H183="",$H183=0,$G183=""),"",$R183/$H183)</f>
        <v/>
      </c>
      <c r="U183" s="11">
        <f>IF($B183="","",IF($T183="","Add value and hours",IF($T183&gt;=Settings!$B$4*Settings!$B$8,"Worth it",IF($T183&gt;=Settings!$B$4,"Thin","Skip?"))))</f>
        <v/>
      </c>
    </row>
    <row r="184">
      <c r="A184" s="10" t="n"/>
      <c r="B184" s="10" t="n"/>
      <c r="C184" s="10" t="n"/>
      <c r="D184" s="10" t="n"/>
      <c r="E184" s="19" t="n"/>
      <c r="F184" s="19" t="n"/>
      <c r="G184" s="8" t="n"/>
      <c r="H184" s="10" t="n"/>
      <c r="I184" s="10" t="n"/>
      <c r="J184" s="19" t="n"/>
      <c r="K184" s="19" t="n"/>
      <c r="L184" s="10" t="n"/>
      <c r="M184" s="10" t="n"/>
      <c r="N184" s="7">
        <f>IF(OR($F184="",$B184=""),"",$F184-TODAY())</f>
        <v/>
      </c>
      <c r="O184" s="7">
        <f>IF($B184="","",IF(OR($I184="Won",$I184="Lost",$I184="No bid",$I184="Submitted"),"",IF($F184="","No due date",IF($F184&lt;TODAY(),"OVERDUE",IF($F184-TODAY()&lt;=Settings!$B$10,"Due soon","")))))</f>
        <v/>
      </c>
      <c r="P184" s="7">
        <f>IF($B184="","",IF(AND($I184="Submitted",$J184&lt;&gt;"",TODAY()-$J184&gt;Settings!$B$9),"Follow up",""))</f>
        <v/>
      </c>
      <c r="Q184" s="17">
        <f>IF($B184="","",IF((COUNTIFS($D$2:$D$200,$D184,$I$2:$I$200,"Won")+COUNTIFS($D$2:$D$200,$D184,$I$2:$I$200,"Lost"))&gt;=Settings!$B$7,COUNTIFS($D$2:$D$200,$D184,$I$2:$I$200,"Won")/(COUNTIFS($D$2:$D$200,$D184,$I$2:$I$200,"Won")+COUNTIFS($D$2:$D$200,$D184,$I$2:$I$200,"Lost")),IF((COUNTIF($I$2:$I$200,"Won")+COUNTIF($I$2:$I$200,"Lost"))&gt;0,COUNTIF($I$2:$I$200,"Won")/(COUNTIF($I$2:$I$200,"Won")+COUNTIF($I$2:$I$200,"Lost")),Settings!$B$6)))</f>
        <v/>
      </c>
      <c r="R184" s="18">
        <f>IF(OR($B184="",$G184=""),"",$G184*$Q184)</f>
        <v/>
      </c>
      <c r="S184" s="18">
        <f>IF(OR($B184="",$H184=""),"",$H184*Settings!$B$4)</f>
        <v/>
      </c>
      <c r="T184" s="18">
        <f>IF(OR($B184="",$H184="",$H184=0,$G184=""),"",$R184/$H184)</f>
        <v/>
      </c>
      <c r="U184" s="11">
        <f>IF($B184="","",IF($T184="","Add value and hours",IF($T184&gt;=Settings!$B$4*Settings!$B$8,"Worth it",IF($T184&gt;=Settings!$B$4,"Thin","Skip?"))))</f>
        <v/>
      </c>
    </row>
    <row r="185">
      <c r="A185" s="10" t="n"/>
      <c r="B185" s="10" t="n"/>
      <c r="C185" s="10" t="n"/>
      <c r="D185" s="10" t="n"/>
      <c r="E185" s="19" t="n"/>
      <c r="F185" s="19" t="n"/>
      <c r="G185" s="8" t="n"/>
      <c r="H185" s="10" t="n"/>
      <c r="I185" s="10" t="n"/>
      <c r="J185" s="19" t="n"/>
      <c r="K185" s="19" t="n"/>
      <c r="L185" s="10" t="n"/>
      <c r="M185" s="10" t="n"/>
      <c r="N185" s="7">
        <f>IF(OR($F185="",$B185=""),"",$F185-TODAY())</f>
        <v/>
      </c>
      <c r="O185" s="7">
        <f>IF($B185="","",IF(OR($I185="Won",$I185="Lost",$I185="No bid",$I185="Submitted"),"",IF($F185="","No due date",IF($F185&lt;TODAY(),"OVERDUE",IF($F185-TODAY()&lt;=Settings!$B$10,"Due soon","")))))</f>
        <v/>
      </c>
      <c r="P185" s="7">
        <f>IF($B185="","",IF(AND($I185="Submitted",$J185&lt;&gt;"",TODAY()-$J185&gt;Settings!$B$9),"Follow up",""))</f>
        <v/>
      </c>
      <c r="Q185" s="17">
        <f>IF($B185="","",IF((COUNTIFS($D$2:$D$200,$D185,$I$2:$I$200,"Won")+COUNTIFS($D$2:$D$200,$D185,$I$2:$I$200,"Lost"))&gt;=Settings!$B$7,COUNTIFS($D$2:$D$200,$D185,$I$2:$I$200,"Won")/(COUNTIFS($D$2:$D$200,$D185,$I$2:$I$200,"Won")+COUNTIFS($D$2:$D$200,$D185,$I$2:$I$200,"Lost")),IF((COUNTIF($I$2:$I$200,"Won")+COUNTIF($I$2:$I$200,"Lost"))&gt;0,COUNTIF($I$2:$I$200,"Won")/(COUNTIF($I$2:$I$200,"Won")+COUNTIF($I$2:$I$200,"Lost")),Settings!$B$6)))</f>
        <v/>
      </c>
      <c r="R185" s="18">
        <f>IF(OR($B185="",$G185=""),"",$G185*$Q185)</f>
        <v/>
      </c>
      <c r="S185" s="18">
        <f>IF(OR($B185="",$H185=""),"",$H185*Settings!$B$4)</f>
        <v/>
      </c>
      <c r="T185" s="18">
        <f>IF(OR($B185="",$H185="",$H185=0,$G185=""),"",$R185/$H185)</f>
        <v/>
      </c>
      <c r="U185" s="11">
        <f>IF($B185="","",IF($T185="","Add value and hours",IF($T185&gt;=Settings!$B$4*Settings!$B$8,"Worth it",IF($T185&gt;=Settings!$B$4,"Thin","Skip?"))))</f>
        <v/>
      </c>
    </row>
    <row r="186">
      <c r="A186" s="10" t="n"/>
      <c r="B186" s="10" t="n"/>
      <c r="C186" s="10" t="n"/>
      <c r="D186" s="10" t="n"/>
      <c r="E186" s="19" t="n"/>
      <c r="F186" s="19" t="n"/>
      <c r="G186" s="8" t="n"/>
      <c r="H186" s="10" t="n"/>
      <c r="I186" s="10" t="n"/>
      <c r="J186" s="19" t="n"/>
      <c r="K186" s="19" t="n"/>
      <c r="L186" s="10" t="n"/>
      <c r="M186" s="10" t="n"/>
      <c r="N186" s="7">
        <f>IF(OR($F186="",$B186=""),"",$F186-TODAY())</f>
        <v/>
      </c>
      <c r="O186" s="7">
        <f>IF($B186="","",IF(OR($I186="Won",$I186="Lost",$I186="No bid",$I186="Submitted"),"",IF($F186="","No due date",IF($F186&lt;TODAY(),"OVERDUE",IF($F186-TODAY()&lt;=Settings!$B$10,"Due soon","")))))</f>
        <v/>
      </c>
      <c r="P186" s="7">
        <f>IF($B186="","",IF(AND($I186="Submitted",$J186&lt;&gt;"",TODAY()-$J186&gt;Settings!$B$9),"Follow up",""))</f>
        <v/>
      </c>
      <c r="Q186" s="17">
        <f>IF($B186="","",IF((COUNTIFS($D$2:$D$200,$D186,$I$2:$I$200,"Won")+COUNTIFS($D$2:$D$200,$D186,$I$2:$I$200,"Lost"))&gt;=Settings!$B$7,COUNTIFS($D$2:$D$200,$D186,$I$2:$I$200,"Won")/(COUNTIFS($D$2:$D$200,$D186,$I$2:$I$200,"Won")+COUNTIFS($D$2:$D$200,$D186,$I$2:$I$200,"Lost")),IF((COUNTIF($I$2:$I$200,"Won")+COUNTIF($I$2:$I$200,"Lost"))&gt;0,COUNTIF($I$2:$I$200,"Won")/(COUNTIF($I$2:$I$200,"Won")+COUNTIF($I$2:$I$200,"Lost")),Settings!$B$6)))</f>
        <v/>
      </c>
      <c r="R186" s="18">
        <f>IF(OR($B186="",$G186=""),"",$G186*$Q186)</f>
        <v/>
      </c>
      <c r="S186" s="18">
        <f>IF(OR($B186="",$H186=""),"",$H186*Settings!$B$4)</f>
        <v/>
      </c>
      <c r="T186" s="18">
        <f>IF(OR($B186="",$H186="",$H186=0,$G186=""),"",$R186/$H186)</f>
        <v/>
      </c>
      <c r="U186" s="11">
        <f>IF($B186="","",IF($T186="","Add value and hours",IF($T186&gt;=Settings!$B$4*Settings!$B$8,"Worth it",IF($T186&gt;=Settings!$B$4,"Thin","Skip?"))))</f>
        <v/>
      </c>
    </row>
    <row r="187">
      <c r="A187" s="10" t="n"/>
      <c r="B187" s="10" t="n"/>
      <c r="C187" s="10" t="n"/>
      <c r="D187" s="10" t="n"/>
      <c r="E187" s="19" t="n"/>
      <c r="F187" s="19" t="n"/>
      <c r="G187" s="8" t="n"/>
      <c r="H187" s="10" t="n"/>
      <c r="I187" s="10" t="n"/>
      <c r="J187" s="19" t="n"/>
      <c r="K187" s="19" t="n"/>
      <c r="L187" s="10" t="n"/>
      <c r="M187" s="10" t="n"/>
      <c r="N187" s="7">
        <f>IF(OR($F187="",$B187=""),"",$F187-TODAY())</f>
        <v/>
      </c>
      <c r="O187" s="7">
        <f>IF($B187="","",IF(OR($I187="Won",$I187="Lost",$I187="No bid",$I187="Submitted"),"",IF($F187="","No due date",IF($F187&lt;TODAY(),"OVERDUE",IF($F187-TODAY()&lt;=Settings!$B$10,"Due soon","")))))</f>
        <v/>
      </c>
      <c r="P187" s="7">
        <f>IF($B187="","",IF(AND($I187="Submitted",$J187&lt;&gt;"",TODAY()-$J187&gt;Settings!$B$9),"Follow up",""))</f>
        <v/>
      </c>
      <c r="Q187" s="17">
        <f>IF($B187="","",IF((COUNTIFS($D$2:$D$200,$D187,$I$2:$I$200,"Won")+COUNTIFS($D$2:$D$200,$D187,$I$2:$I$200,"Lost"))&gt;=Settings!$B$7,COUNTIFS($D$2:$D$200,$D187,$I$2:$I$200,"Won")/(COUNTIFS($D$2:$D$200,$D187,$I$2:$I$200,"Won")+COUNTIFS($D$2:$D$200,$D187,$I$2:$I$200,"Lost")),IF((COUNTIF($I$2:$I$200,"Won")+COUNTIF($I$2:$I$200,"Lost"))&gt;0,COUNTIF($I$2:$I$200,"Won")/(COUNTIF($I$2:$I$200,"Won")+COUNTIF($I$2:$I$200,"Lost")),Settings!$B$6)))</f>
        <v/>
      </c>
      <c r="R187" s="18">
        <f>IF(OR($B187="",$G187=""),"",$G187*$Q187)</f>
        <v/>
      </c>
      <c r="S187" s="18">
        <f>IF(OR($B187="",$H187=""),"",$H187*Settings!$B$4)</f>
        <v/>
      </c>
      <c r="T187" s="18">
        <f>IF(OR($B187="",$H187="",$H187=0,$G187=""),"",$R187/$H187)</f>
        <v/>
      </c>
      <c r="U187" s="11">
        <f>IF($B187="","",IF($T187="","Add value and hours",IF($T187&gt;=Settings!$B$4*Settings!$B$8,"Worth it",IF($T187&gt;=Settings!$B$4,"Thin","Skip?"))))</f>
        <v/>
      </c>
    </row>
    <row r="188">
      <c r="A188" s="10" t="n"/>
      <c r="B188" s="10" t="n"/>
      <c r="C188" s="10" t="n"/>
      <c r="D188" s="10" t="n"/>
      <c r="E188" s="19" t="n"/>
      <c r="F188" s="19" t="n"/>
      <c r="G188" s="8" t="n"/>
      <c r="H188" s="10" t="n"/>
      <c r="I188" s="10" t="n"/>
      <c r="J188" s="19" t="n"/>
      <c r="K188" s="19" t="n"/>
      <c r="L188" s="10" t="n"/>
      <c r="M188" s="10" t="n"/>
      <c r="N188" s="7">
        <f>IF(OR($F188="",$B188=""),"",$F188-TODAY())</f>
        <v/>
      </c>
      <c r="O188" s="7">
        <f>IF($B188="","",IF(OR($I188="Won",$I188="Lost",$I188="No bid",$I188="Submitted"),"",IF($F188="","No due date",IF($F188&lt;TODAY(),"OVERDUE",IF($F188-TODAY()&lt;=Settings!$B$10,"Due soon","")))))</f>
        <v/>
      </c>
      <c r="P188" s="7">
        <f>IF($B188="","",IF(AND($I188="Submitted",$J188&lt;&gt;"",TODAY()-$J188&gt;Settings!$B$9),"Follow up",""))</f>
        <v/>
      </c>
      <c r="Q188" s="17">
        <f>IF($B188="","",IF((COUNTIFS($D$2:$D$200,$D188,$I$2:$I$200,"Won")+COUNTIFS($D$2:$D$200,$D188,$I$2:$I$200,"Lost"))&gt;=Settings!$B$7,COUNTIFS($D$2:$D$200,$D188,$I$2:$I$200,"Won")/(COUNTIFS($D$2:$D$200,$D188,$I$2:$I$200,"Won")+COUNTIFS($D$2:$D$200,$D188,$I$2:$I$200,"Lost")),IF((COUNTIF($I$2:$I$200,"Won")+COUNTIF($I$2:$I$200,"Lost"))&gt;0,COUNTIF($I$2:$I$200,"Won")/(COUNTIF($I$2:$I$200,"Won")+COUNTIF($I$2:$I$200,"Lost")),Settings!$B$6)))</f>
        <v/>
      </c>
      <c r="R188" s="18">
        <f>IF(OR($B188="",$G188=""),"",$G188*$Q188)</f>
        <v/>
      </c>
      <c r="S188" s="18">
        <f>IF(OR($B188="",$H188=""),"",$H188*Settings!$B$4)</f>
        <v/>
      </c>
      <c r="T188" s="18">
        <f>IF(OR($B188="",$H188="",$H188=0,$G188=""),"",$R188/$H188)</f>
        <v/>
      </c>
      <c r="U188" s="11">
        <f>IF($B188="","",IF($T188="","Add value and hours",IF($T188&gt;=Settings!$B$4*Settings!$B$8,"Worth it",IF($T188&gt;=Settings!$B$4,"Thin","Skip?"))))</f>
        <v/>
      </c>
    </row>
    <row r="189">
      <c r="A189" s="10" t="n"/>
      <c r="B189" s="10" t="n"/>
      <c r="C189" s="10" t="n"/>
      <c r="D189" s="10" t="n"/>
      <c r="E189" s="19" t="n"/>
      <c r="F189" s="19" t="n"/>
      <c r="G189" s="8" t="n"/>
      <c r="H189" s="10" t="n"/>
      <c r="I189" s="10" t="n"/>
      <c r="J189" s="19" t="n"/>
      <c r="K189" s="19" t="n"/>
      <c r="L189" s="10" t="n"/>
      <c r="M189" s="10" t="n"/>
      <c r="N189" s="7">
        <f>IF(OR($F189="",$B189=""),"",$F189-TODAY())</f>
        <v/>
      </c>
      <c r="O189" s="7">
        <f>IF($B189="","",IF(OR($I189="Won",$I189="Lost",$I189="No bid",$I189="Submitted"),"",IF($F189="","No due date",IF($F189&lt;TODAY(),"OVERDUE",IF($F189-TODAY()&lt;=Settings!$B$10,"Due soon","")))))</f>
        <v/>
      </c>
      <c r="P189" s="7">
        <f>IF($B189="","",IF(AND($I189="Submitted",$J189&lt;&gt;"",TODAY()-$J189&gt;Settings!$B$9),"Follow up",""))</f>
        <v/>
      </c>
      <c r="Q189" s="17">
        <f>IF($B189="","",IF((COUNTIFS($D$2:$D$200,$D189,$I$2:$I$200,"Won")+COUNTIFS($D$2:$D$200,$D189,$I$2:$I$200,"Lost"))&gt;=Settings!$B$7,COUNTIFS($D$2:$D$200,$D189,$I$2:$I$200,"Won")/(COUNTIFS($D$2:$D$200,$D189,$I$2:$I$200,"Won")+COUNTIFS($D$2:$D$200,$D189,$I$2:$I$200,"Lost")),IF((COUNTIF($I$2:$I$200,"Won")+COUNTIF($I$2:$I$200,"Lost"))&gt;0,COUNTIF($I$2:$I$200,"Won")/(COUNTIF($I$2:$I$200,"Won")+COUNTIF($I$2:$I$200,"Lost")),Settings!$B$6)))</f>
        <v/>
      </c>
      <c r="R189" s="18">
        <f>IF(OR($B189="",$G189=""),"",$G189*$Q189)</f>
        <v/>
      </c>
      <c r="S189" s="18">
        <f>IF(OR($B189="",$H189=""),"",$H189*Settings!$B$4)</f>
        <v/>
      </c>
      <c r="T189" s="18">
        <f>IF(OR($B189="",$H189="",$H189=0,$G189=""),"",$R189/$H189)</f>
        <v/>
      </c>
      <c r="U189" s="11">
        <f>IF($B189="","",IF($T189="","Add value and hours",IF($T189&gt;=Settings!$B$4*Settings!$B$8,"Worth it",IF($T189&gt;=Settings!$B$4,"Thin","Skip?"))))</f>
        <v/>
      </c>
    </row>
    <row r="190">
      <c r="A190" s="10" t="n"/>
      <c r="B190" s="10" t="n"/>
      <c r="C190" s="10" t="n"/>
      <c r="D190" s="10" t="n"/>
      <c r="E190" s="19" t="n"/>
      <c r="F190" s="19" t="n"/>
      <c r="G190" s="8" t="n"/>
      <c r="H190" s="10" t="n"/>
      <c r="I190" s="10" t="n"/>
      <c r="J190" s="19" t="n"/>
      <c r="K190" s="19" t="n"/>
      <c r="L190" s="10" t="n"/>
      <c r="M190" s="10" t="n"/>
      <c r="N190" s="7">
        <f>IF(OR($F190="",$B190=""),"",$F190-TODAY())</f>
        <v/>
      </c>
      <c r="O190" s="7">
        <f>IF($B190="","",IF(OR($I190="Won",$I190="Lost",$I190="No bid",$I190="Submitted"),"",IF($F190="","No due date",IF($F190&lt;TODAY(),"OVERDUE",IF($F190-TODAY()&lt;=Settings!$B$10,"Due soon","")))))</f>
        <v/>
      </c>
      <c r="P190" s="7">
        <f>IF($B190="","",IF(AND($I190="Submitted",$J190&lt;&gt;"",TODAY()-$J190&gt;Settings!$B$9),"Follow up",""))</f>
        <v/>
      </c>
      <c r="Q190" s="17">
        <f>IF($B190="","",IF((COUNTIFS($D$2:$D$200,$D190,$I$2:$I$200,"Won")+COUNTIFS($D$2:$D$200,$D190,$I$2:$I$200,"Lost"))&gt;=Settings!$B$7,COUNTIFS($D$2:$D$200,$D190,$I$2:$I$200,"Won")/(COUNTIFS($D$2:$D$200,$D190,$I$2:$I$200,"Won")+COUNTIFS($D$2:$D$200,$D190,$I$2:$I$200,"Lost")),IF((COUNTIF($I$2:$I$200,"Won")+COUNTIF($I$2:$I$200,"Lost"))&gt;0,COUNTIF($I$2:$I$200,"Won")/(COUNTIF($I$2:$I$200,"Won")+COUNTIF($I$2:$I$200,"Lost")),Settings!$B$6)))</f>
        <v/>
      </c>
      <c r="R190" s="18">
        <f>IF(OR($B190="",$G190=""),"",$G190*$Q190)</f>
        <v/>
      </c>
      <c r="S190" s="18">
        <f>IF(OR($B190="",$H190=""),"",$H190*Settings!$B$4)</f>
        <v/>
      </c>
      <c r="T190" s="18">
        <f>IF(OR($B190="",$H190="",$H190=0,$G190=""),"",$R190/$H190)</f>
        <v/>
      </c>
      <c r="U190" s="11">
        <f>IF($B190="","",IF($T190="","Add value and hours",IF($T190&gt;=Settings!$B$4*Settings!$B$8,"Worth it",IF($T190&gt;=Settings!$B$4,"Thin","Skip?"))))</f>
        <v/>
      </c>
    </row>
    <row r="191">
      <c r="A191" s="10" t="n"/>
      <c r="B191" s="10" t="n"/>
      <c r="C191" s="10" t="n"/>
      <c r="D191" s="10" t="n"/>
      <c r="E191" s="19" t="n"/>
      <c r="F191" s="19" t="n"/>
      <c r="G191" s="8" t="n"/>
      <c r="H191" s="10" t="n"/>
      <c r="I191" s="10" t="n"/>
      <c r="J191" s="19" t="n"/>
      <c r="K191" s="19" t="n"/>
      <c r="L191" s="10" t="n"/>
      <c r="M191" s="10" t="n"/>
      <c r="N191" s="7">
        <f>IF(OR($F191="",$B191=""),"",$F191-TODAY())</f>
        <v/>
      </c>
      <c r="O191" s="7">
        <f>IF($B191="","",IF(OR($I191="Won",$I191="Lost",$I191="No bid",$I191="Submitted"),"",IF($F191="","No due date",IF($F191&lt;TODAY(),"OVERDUE",IF($F191-TODAY()&lt;=Settings!$B$10,"Due soon","")))))</f>
        <v/>
      </c>
      <c r="P191" s="7">
        <f>IF($B191="","",IF(AND($I191="Submitted",$J191&lt;&gt;"",TODAY()-$J191&gt;Settings!$B$9),"Follow up",""))</f>
        <v/>
      </c>
      <c r="Q191" s="17">
        <f>IF($B191="","",IF((COUNTIFS($D$2:$D$200,$D191,$I$2:$I$200,"Won")+COUNTIFS($D$2:$D$200,$D191,$I$2:$I$200,"Lost"))&gt;=Settings!$B$7,COUNTIFS($D$2:$D$200,$D191,$I$2:$I$200,"Won")/(COUNTIFS($D$2:$D$200,$D191,$I$2:$I$200,"Won")+COUNTIFS($D$2:$D$200,$D191,$I$2:$I$200,"Lost")),IF((COUNTIF($I$2:$I$200,"Won")+COUNTIF($I$2:$I$200,"Lost"))&gt;0,COUNTIF($I$2:$I$200,"Won")/(COUNTIF($I$2:$I$200,"Won")+COUNTIF($I$2:$I$200,"Lost")),Settings!$B$6)))</f>
        <v/>
      </c>
      <c r="R191" s="18">
        <f>IF(OR($B191="",$G191=""),"",$G191*$Q191)</f>
        <v/>
      </c>
      <c r="S191" s="18">
        <f>IF(OR($B191="",$H191=""),"",$H191*Settings!$B$4)</f>
        <v/>
      </c>
      <c r="T191" s="18">
        <f>IF(OR($B191="",$H191="",$H191=0,$G191=""),"",$R191/$H191)</f>
        <v/>
      </c>
      <c r="U191" s="11">
        <f>IF($B191="","",IF($T191="","Add value and hours",IF($T191&gt;=Settings!$B$4*Settings!$B$8,"Worth it",IF($T191&gt;=Settings!$B$4,"Thin","Skip?"))))</f>
        <v/>
      </c>
    </row>
    <row r="192">
      <c r="A192" s="10" t="n"/>
      <c r="B192" s="10" t="n"/>
      <c r="C192" s="10" t="n"/>
      <c r="D192" s="10" t="n"/>
      <c r="E192" s="19" t="n"/>
      <c r="F192" s="19" t="n"/>
      <c r="G192" s="8" t="n"/>
      <c r="H192" s="10" t="n"/>
      <c r="I192" s="10" t="n"/>
      <c r="J192" s="19" t="n"/>
      <c r="K192" s="19" t="n"/>
      <c r="L192" s="10" t="n"/>
      <c r="M192" s="10" t="n"/>
      <c r="N192" s="7">
        <f>IF(OR($F192="",$B192=""),"",$F192-TODAY())</f>
        <v/>
      </c>
      <c r="O192" s="7">
        <f>IF($B192="","",IF(OR($I192="Won",$I192="Lost",$I192="No bid",$I192="Submitted"),"",IF($F192="","No due date",IF($F192&lt;TODAY(),"OVERDUE",IF($F192-TODAY()&lt;=Settings!$B$10,"Due soon","")))))</f>
        <v/>
      </c>
      <c r="P192" s="7">
        <f>IF($B192="","",IF(AND($I192="Submitted",$J192&lt;&gt;"",TODAY()-$J192&gt;Settings!$B$9),"Follow up",""))</f>
        <v/>
      </c>
      <c r="Q192" s="17">
        <f>IF($B192="","",IF((COUNTIFS($D$2:$D$200,$D192,$I$2:$I$200,"Won")+COUNTIFS($D$2:$D$200,$D192,$I$2:$I$200,"Lost"))&gt;=Settings!$B$7,COUNTIFS($D$2:$D$200,$D192,$I$2:$I$200,"Won")/(COUNTIFS($D$2:$D$200,$D192,$I$2:$I$200,"Won")+COUNTIFS($D$2:$D$200,$D192,$I$2:$I$200,"Lost")),IF((COUNTIF($I$2:$I$200,"Won")+COUNTIF($I$2:$I$200,"Lost"))&gt;0,COUNTIF($I$2:$I$200,"Won")/(COUNTIF($I$2:$I$200,"Won")+COUNTIF($I$2:$I$200,"Lost")),Settings!$B$6)))</f>
        <v/>
      </c>
      <c r="R192" s="18">
        <f>IF(OR($B192="",$G192=""),"",$G192*$Q192)</f>
        <v/>
      </c>
      <c r="S192" s="18">
        <f>IF(OR($B192="",$H192=""),"",$H192*Settings!$B$4)</f>
        <v/>
      </c>
      <c r="T192" s="18">
        <f>IF(OR($B192="",$H192="",$H192=0,$G192=""),"",$R192/$H192)</f>
        <v/>
      </c>
      <c r="U192" s="11">
        <f>IF($B192="","",IF($T192="","Add value and hours",IF($T192&gt;=Settings!$B$4*Settings!$B$8,"Worth it",IF($T192&gt;=Settings!$B$4,"Thin","Skip?"))))</f>
        <v/>
      </c>
    </row>
    <row r="193">
      <c r="A193" s="10" t="n"/>
      <c r="B193" s="10" t="n"/>
      <c r="C193" s="10" t="n"/>
      <c r="D193" s="10" t="n"/>
      <c r="E193" s="19" t="n"/>
      <c r="F193" s="19" t="n"/>
      <c r="G193" s="8" t="n"/>
      <c r="H193" s="10" t="n"/>
      <c r="I193" s="10" t="n"/>
      <c r="J193" s="19" t="n"/>
      <c r="K193" s="19" t="n"/>
      <c r="L193" s="10" t="n"/>
      <c r="M193" s="10" t="n"/>
      <c r="N193" s="7">
        <f>IF(OR($F193="",$B193=""),"",$F193-TODAY())</f>
        <v/>
      </c>
      <c r="O193" s="7">
        <f>IF($B193="","",IF(OR($I193="Won",$I193="Lost",$I193="No bid",$I193="Submitted"),"",IF($F193="","No due date",IF($F193&lt;TODAY(),"OVERDUE",IF($F193-TODAY()&lt;=Settings!$B$10,"Due soon","")))))</f>
        <v/>
      </c>
      <c r="P193" s="7">
        <f>IF($B193="","",IF(AND($I193="Submitted",$J193&lt;&gt;"",TODAY()-$J193&gt;Settings!$B$9),"Follow up",""))</f>
        <v/>
      </c>
      <c r="Q193" s="17">
        <f>IF($B193="","",IF((COUNTIFS($D$2:$D$200,$D193,$I$2:$I$200,"Won")+COUNTIFS($D$2:$D$200,$D193,$I$2:$I$200,"Lost"))&gt;=Settings!$B$7,COUNTIFS($D$2:$D$200,$D193,$I$2:$I$200,"Won")/(COUNTIFS($D$2:$D$200,$D193,$I$2:$I$200,"Won")+COUNTIFS($D$2:$D$200,$D193,$I$2:$I$200,"Lost")),IF((COUNTIF($I$2:$I$200,"Won")+COUNTIF($I$2:$I$200,"Lost"))&gt;0,COUNTIF($I$2:$I$200,"Won")/(COUNTIF($I$2:$I$200,"Won")+COUNTIF($I$2:$I$200,"Lost")),Settings!$B$6)))</f>
        <v/>
      </c>
      <c r="R193" s="18">
        <f>IF(OR($B193="",$G193=""),"",$G193*$Q193)</f>
        <v/>
      </c>
      <c r="S193" s="18">
        <f>IF(OR($B193="",$H193=""),"",$H193*Settings!$B$4)</f>
        <v/>
      </c>
      <c r="T193" s="18">
        <f>IF(OR($B193="",$H193="",$H193=0,$G193=""),"",$R193/$H193)</f>
        <v/>
      </c>
      <c r="U193" s="11">
        <f>IF($B193="","",IF($T193="","Add value and hours",IF($T193&gt;=Settings!$B$4*Settings!$B$8,"Worth it",IF($T193&gt;=Settings!$B$4,"Thin","Skip?"))))</f>
        <v/>
      </c>
    </row>
    <row r="194">
      <c r="A194" s="10" t="n"/>
      <c r="B194" s="10" t="n"/>
      <c r="C194" s="10" t="n"/>
      <c r="D194" s="10" t="n"/>
      <c r="E194" s="19" t="n"/>
      <c r="F194" s="19" t="n"/>
      <c r="G194" s="8" t="n"/>
      <c r="H194" s="10" t="n"/>
      <c r="I194" s="10" t="n"/>
      <c r="J194" s="19" t="n"/>
      <c r="K194" s="19" t="n"/>
      <c r="L194" s="10" t="n"/>
      <c r="M194" s="10" t="n"/>
      <c r="N194" s="7">
        <f>IF(OR($F194="",$B194=""),"",$F194-TODAY())</f>
        <v/>
      </c>
      <c r="O194" s="7">
        <f>IF($B194="","",IF(OR($I194="Won",$I194="Lost",$I194="No bid",$I194="Submitted"),"",IF($F194="","No due date",IF($F194&lt;TODAY(),"OVERDUE",IF($F194-TODAY()&lt;=Settings!$B$10,"Due soon","")))))</f>
        <v/>
      </c>
      <c r="P194" s="7">
        <f>IF($B194="","",IF(AND($I194="Submitted",$J194&lt;&gt;"",TODAY()-$J194&gt;Settings!$B$9),"Follow up",""))</f>
        <v/>
      </c>
      <c r="Q194" s="17">
        <f>IF($B194="","",IF((COUNTIFS($D$2:$D$200,$D194,$I$2:$I$200,"Won")+COUNTIFS($D$2:$D$200,$D194,$I$2:$I$200,"Lost"))&gt;=Settings!$B$7,COUNTIFS($D$2:$D$200,$D194,$I$2:$I$200,"Won")/(COUNTIFS($D$2:$D$200,$D194,$I$2:$I$200,"Won")+COUNTIFS($D$2:$D$200,$D194,$I$2:$I$200,"Lost")),IF((COUNTIF($I$2:$I$200,"Won")+COUNTIF($I$2:$I$200,"Lost"))&gt;0,COUNTIF($I$2:$I$200,"Won")/(COUNTIF($I$2:$I$200,"Won")+COUNTIF($I$2:$I$200,"Lost")),Settings!$B$6)))</f>
        <v/>
      </c>
      <c r="R194" s="18">
        <f>IF(OR($B194="",$G194=""),"",$G194*$Q194)</f>
        <v/>
      </c>
      <c r="S194" s="18">
        <f>IF(OR($B194="",$H194=""),"",$H194*Settings!$B$4)</f>
        <v/>
      </c>
      <c r="T194" s="18">
        <f>IF(OR($B194="",$H194="",$H194=0,$G194=""),"",$R194/$H194)</f>
        <v/>
      </c>
      <c r="U194" s="11">
        <f>IF($B194="","",IF($T194="","Add value and hours",IF($T194&gt;=Settings!$B$4*Settings!$B$8,"Worth it",IF($T194&gt;=Settings!$B$4,"Thin","Skip?"))))</f>
        <v/>
      </c>
    </row>
    <row r="195">
      <c r="A195" s="10" t="n"/>
      <c r="B195" s="10" t="n"/>
      <c r="C195" s="10" t="n"/>
      <c r="D195" s="10" t="n"/>
      <c r="E195" s="19" t="n"/>
      <c r="F195" s="19" t="n"/>
      <c r="G195" s="8" t="n"/>
      <c r="H195" s="10" t="n"/>
      <c r="I195" s="10" t="n"/>
      <c r="J195" s="19" t="n"/>
      <c r="K195" s="19" t="n"/>
      <c r="L195" s="10" t="n"/>
      <c r="M195" s="10" t="n"/>
      <c r="N195" s="7">
        <f>IF(OR($F195="",$B195=""),"",$F195-TODAY())</f>
        <v/>
      </c>
      <c r="O195" s="7">
        <f>IF($B195="","",IF(OR($I195="Won",$I195="Lost",$I195="No bid",$I195="Submitted"),"",IF($F195="","No due date",IF($F195&lt;TODAY(),"OVERDUE",IF($F195-TODAY()&lt;=Settings!$B$10,"Due soon","")))))</f>
        <v/>
      </c>
      <c r="P195" s="7">
        <f>IF($B195="","",IF(AND($I195="Submitted",$J195&lt;&gt;"",TODAY()-$J195&gt;Settings!$B$9),"Follow up",""))</f>
        <v/>
      </c>
      <c r="Q195" s="17">
        <f>IF($B195="","",IF((COUNTIFS($D$2:$D$200,$D195,$I$2:$I$200,"Won")+COUNTIFS($D$2:$D$200,$D195,$I$2:$I$200,"Lost"))&gt;=Settings!$B$7,COUNTIFS($D$2:$D$200,$D195,$I$2:$I$200,"Won")/(COUNTIFS($D$2:$D$200,$D195,$I$2:$I$200,"Won")+COUNTIFS($D$2:$D$200,$D195,$I$2:$I$200,"Lost")),IF((COUNTIF($I$2:$I$200,"Won")+COUNTIF($I$2:$I$200,"Lost"))&gt;0,COUNTIF($I$2:$I$200,"Won")/(COUNTIF($I$2:$I$200,"Won")+COUNTIF($I$2:$I$200,"Lost")),Settings!$B$6)))</f>
        <v/>
      </c>
      <c r="R195" s="18">
        <f>IF(OR($B195="",$G195=""),"",$G195*$Q195)</f>
        <v/>
      </c>
      <c r="S195" s="18">
        <f>IF(OR($B195="",$H195=""),"",$H195*Settings!$B$4)</f>
        <v/>
      </c>
      <c r="T195" s="18">
        <f>IF(OR($B195="",$H195="",$H195=0,$G195=""),"",$R195/$H195)</f>
        <v/>
      </c>
      <c r="U195" s="11">
        <f>IF($B195="","",IF($T195="","Add value and hours",IF($T195&gt;=Settings!$B$4*Settings!$B$8,"Worth it",IF($T195&gt;=Settings!$B$4,"Thin","Skip?"))))</f>
        <v/>
      </c>
    </row>
    <row r="196">
      <c r="A196" s="10" t="n"/>
      <c r="B196" s="10" t="n"/>
      <c r="C196" s="10" t="n"/>
      <c r="D196" s="10" t="n"/>
      <c r="E196" s="19" t="n"/>
      <c r="F196" s="19" t="n"/>
      <c r="G196" s="8" t="n"/>
      <c r="H196" s="10" t="n"/>
      <c r="I196" s="10" t="n"/>
      <c r="J196" s="19" t="n"/>
      <c r="K196" s="19" t="n"/>
      <c r="L196" s="10" t="n"/>
      <c r="M196" s="10" t="n"/>
      <c r="N196" s="7">
        <f>IF(OR($F196="",$B196=""),"",$F196-TODAY())</f>
        <v/>
      </c>
      <c r="O196" s="7">
        <f>IF($B196="","",IF(OR($I196="Won",$I196="Lost",$I196="No bid",$I196="Submitted"),"",IF($F196="","No due date",IF($F196&lt;TODAY(),"OVERDUE",IF($F196-TODAY()&lt;=Settings!$B$10,"Due soon","")))))</f>
        <v/>
      </c>
      <c r="P196" s="7">
        <f>IF($B196="","",IF(AND($I196="Submitted",$J196&lt;&gt;"",TODAY()-$J196&gt;Settings!$B$9),"Follow up",""))</f>
        <v/>
      </c>
      <c r="Q196" s="17">
        <f>IF($B196="","",IF((COUNTIFS($D$2:$D$200,$D196,$I$2:$I$200,"Won")+COUNTIFS($D$2:$D$200,$D196,$I$2:$I$200,"Lost"))&gt;=Settings!$B$7,COUNTIFS($D$2:$D$200,$D196,$I$2:$I$200,"Won")/(COUNTIFS($D$2:$D$200,$D196,$I$2:$I$200,"Won")+COUNTIFS($D$2:$D$200,$D196,$I$2:$I$200,"Lost")),IF((COUNTIF($I$2:$I$200,"Won")+COUNTIF($I$2:$I$200,"Lost"))&gt;0,COUNTIF($I$2:$I$200,"Won")/(COUNTIF($I$2:$I$200,"Won")+COUNTIF($I$2:$I$200,"Lost")),Settings!$B$6)))</f>
        <v/>
      </c>
      <c r="R196" s="18">
        <f>IF(OR($B196="",$G196=""),"",$G196*$Q196)</f>
        <v/>
      </c>
      <c r="S196" s="18">
        <f>IF(OR($B196="",$H196=""),"",$H196*Settings!$B$4)</f>
        <v/>
      </c>
      <c r="T196" s="18">
        <f>IF(OR($B196="",$H196="",$H196=0,$G196=""),"",$R196/$H196)</f>
        <v/>
      </c>
      <c r="U196" s="11">
        <f>IF($B196="","",IF($T196="","Add value and hours",IF($T196&gt;=Settings!$B$4*Settings!$B$8,"Worth it",IF($T196&gt;=Settings!$B$4,"Thin","Skip?"))))</f>
        <v/>
      </c>
    </row>
    <row r="197">
      <c r="A197" s="10" t="n"/>
      <c r="B197" s="10" t="n"/>
      <c r="C197" s="10" t="n"/>
      <c r="D197" s="10" t="n"/>
      <c r="E197" s="19" t="n"/>
      <c r="F197" s="19" t="n"/>
      <c r="G197" s="8" t="n"/>
      <c r="H197" s="10" t="n"/>
      <c r="I197" s="10" t="n"/>
      <c r="J197" s="19" t="n"/>
      <c r="K197" s="19" t="n"/>
      <c r="L197" s="10" t="n"/>
      <c r="M197" s="10" t="n"/>
      <c r="N197" s="7">
        <f>IF(OR($F197="",$B197=""),"",$F197-TODAY())</f>
        <v/>
      </c>
      <c r="O197" s="7">
        <f>IF($B197="","",IF(OR($I197="Won",$I197="Lost",$I197="No bid",$I197="Submitted"),"",IF($F197="","No due date",IF($F197&lt;TODAY(),"OVERDUE",IF($F197-TODAY()&lt;=Settings!$B$10,"Due soon","")))))</f>
        <v/>
      </c>
      <c r="P197" s="7">
        <f>IF($B197="","",IF(AND($I197="Submitted",$J197&lt;&gt;"",TODAY()-$J197&gt;Settings!$B$9),"Follow up",""))</f>
        <v/>
      </c>
      <c r="Q197" s="17">
        <f>IF($B197="","",IF((COUNTIFS($D$2:$D$200,$D197,$I$2:$I$200,"Won")+COUNTIFS($D$2:$D$200,$D197,$I$2:$I$200,"Lost"))&gt;=Settings!$B$7,COUNTIFS($D$2:$D$200,$D197,$I$2:$I$200,"Won")/(COUNTIFS($D$2:$D$200,$D197,$I$2:$I$200,"Won")+COUNTIFS($D$2:$D$200,$D197,$I$2:$I$200,"Lost")),IF((COUNTIF($I$2:$I$200,"Won")+COUNTIF($I$2:$I$200,"Lost"))&gt;0,COUNTIF($I$2:$I$200,"Won")/(COUNTIF($I$2:$I$200,"Won")+COUNTIF($I$2:$I$200,"Lost")),Settings!$B$6)))</f>
        <v/>
      </c>
      <c r="R197" s="18">
        <f>IF(OR($B197="",$G197=""),"",$G197*$Q197)</f>
        <v/>
      </c>
      <c r="S197" s="18">
        <f>IF(OR($B197="",$H197=""),"",$H197*Settings!$B$4)</f>
        <v/>
      </c>
      <c r="T197" s="18">
        <f>IF(OR($B197="",$H197="",$H197=0,$G197=""),"",$R197/$H197)</f>
        <v/>
      </c>
      <c r="U197" s="11">
        <f>IF($B197="","",IF($T197="","Add value and hours",IF($T197&gt;=Settings!$B$4*Settings!$B$8,"Worth it",IF($T197&gt;=Settings!$B$4,"Thin","Skip?"))))</f>
        <v/>
      </c>
    </row>
    <row r="198">
      <c r="A198" s="10" t="n"/>
      <c r="B198" s="10" t="n"/>
      <c r="C198" s="10" t="n"/>
      <c r="D198" s="10" t="n"/>
      <c r="E198" s="19" t="n"/>
      <c r="F198" s="19" t="n"/>
      <c r="G198" s="8" t="n"/>
      <c r="H198" s="10" t="n"/>
      <c r="I198" s="10" t="n"/>
      <c r="J198" s="19" t="n"/>
      <c r="K198" s="19" t="n"/>
      <c r="L198" s="10" t="n"/>
      <c r="M198" s="10" t="n"/>
      <c r="N198" s="7">
        <f>IF(OR($F198="",$B198=""),"",$F198-TODAY())</f>
        <v/>
      </c>
      <c r="O198" s="7">
        <f>IF($B198="","",IF(OR($I198="Won",$I198="Lost",$I198="No bid",$I198="Submitted"),"",IF($F198="","No due date",IF($F198&lt;TODAY(),"OVERDUE",IF($F198-TODAY()&lt;=Settings!$B$10,"Due soon","")))))</f>
        <v/>
      </c>
      <c r="P198" s="7">
        <f>IF($B198="","",IF(AND($I198="Submitted",$J198&lt;&gt;"",TODAY()-$J198&gt;Settings!$B$9),"Follow up",""))</f>
        <v/>
      </c>
      <c r="Q198" s="17">
        <f>IF($B198="","",IF((COUNTIFS($D$2:$D$200,$D198,$I$2:$I$200,"Won")+COUNTIFS($D$2:$D$200,$D198,$I$2:$I$200,"Lost"))&gt;=Settings!$B$7,COUNTIFS($D$2:$D$200,$D198,$I$2:$I$200,"Won")/(COUNTIFS($D$2:$D$200,$D198,$I$2:$I$200,"Won")+COUNTIFS($D$2:$D$200,$D198,$I$2:$I$200,"Lost")),IF((COUNTIF($I$2:$I$200,"Won")+COUNTIF($I$2:$I$200,"Lost"))&gt;0,COUNTIF($I$2:$I$200,"Won")/(COUNTIF($I$2:$I$200,"Won")+COUNTIF($I$2:$I$200,"Lost")),Settings!$B$6)))</f>
        <v/>
      </c>
      <c r="R198" s="18">
        <f>IF(OR($B198="",$G198=""),"",$G198*$Q198)</f>
        <v/>
      </c>
      <c r="S198" s="18">
        <f>IF(OR($B198="",$H198=""),"",$H198*Settings!$B$4)</f>
        <v/>
      </c>
      <c r="T198" s="18">
        <f>IF(OR($B198="",$H198="",$H198=0,$G198=""),"",$R198/$H198)</f>
        <v/>
      </c>
      <c r="U198" s="11">
        <f>IF($B198="","",IF($T198="","Add value and hours",IF($T198&gt;=Settings!$B$4*Settings!$B$8,"Worth it",IF($T198&gt;=Settings!$B$4,"Thin","Skip?"))))</f>
        <v/>
      </c>
    </row>
    <row r="199">
      <c r="A199" s="10" t="n"/>
      <c r="B199" s="10" t="n"/>
      <c r="C199" s="10" t="n"/>
      <c r="D199" s="10" t="n"/>
      <c r="E199" s="19" t="n"/>
      <c r="F199" s="19" t="n"/>
      <c r="G199" s="8" t="n"/>
      <c r="H199" s="10" t="n"/>
      <c r="I199" s="10" t="n"/>
      <c r="J199" s="19" t="n"/>
      <c r="K199" s="19" t="n"/>
      <c r="L199" s="10" t="n"/>
      <c r="M199" s="10" t="n"/>
      <c r="N199" s="7">
        <f>IF(OR($F199="",$B199=""),"",$F199-TODAY())</f>
        <v/>
      </c>
      <c r="O199" s="7">
        <f>IF($B199="","",IF(OR($I199="Won",$I199="Lost",$I199="No bid",$I199="Submitted"),"",IF($F199="","No due date",IF($F199&lt;TODAY(),"OVERDUE",IF($F199-TODAY()&lt;=Settings!$B$10,"Due soon","")))))</f>
        <v/>
      </c>
      <c r="P199" s="7">
        <f>IF($B199="","",IF(AND($I199="Submitted",$J199&lt;&gt;"",TODAY()-$J199&gt;Settings!$B$9),"Follow up",""))</f>
        <v/>
      </c>
      <c r="Q199" s="17">
        <f>IF($B199="","",IF((COUNTIFS($D$2:$D$200,$D199,$I$2:$I$200,"Won")+COUNTIFS($D$2:$D$200,$D199,$I$2:$I$200,"Lost"))&gt;=Settings!$B$7,COUNTIFS($D$2:$D$200,$D199,$I$2:$I$200,"Won")/(COUNTIFS($D$2:$D$200,$D199,$I$2:$I$200,"Won")+COUNTIFS($D$2:$D$200,$D199,$I$2:$I$200,"Lost")),IF((COUNTIF($I$2:$I$200,"Won")+COUNTIF($I$2:$I$200,"Lost"))&gt;0,COUNTIF($I$2:$I$200,"Won")/(COUNTIF($I$2:$I$200,"Won")+COUNTIF($I$2:$I$200,"Lost")),Settings!$B$6)))</f>
        <v/>
      </c>
      <c r="R199" s="18">
        <f>IF(OR($B199="",$G199=""),"",$G199*$Q199)</f>
        <v/>
      </c>
      <c r="S199" s="18">
        <f>IF(OR($B199="",$H199=""),"",$H199*Settings!$B$4)</f>
        <v/>
      </c>
      <c r="T199" s="18">
        <f>IF(OR($B199="",$H199="",$H199=0,$G199=""),"",$R199/$H199)</f>
        <v/>
      </c>
      <c r="U199" s="11">
        <f>IF($B199="","",IF($T199="","Add value and hours",IF($T199&gt;=Settings!$B$4*Settings!$B$8,"Worth it",IF($T199&gt;=Settings!$B$4,"Thin","Skip?"))))</f>
        <v/>
      </c>
    </row>
    <row r="200">
      <c r="A200" s="10" t="n"/>
      <c r="B200" s="10" t="n"/>
      <c r="C200" s="10" t="n"/>
      <c r="D200" s="10" t="n"/>
      <c r="E200" s="19" t="n"/>
      <c r="F200" s="19" t="n"/>
      <c r="G200" s="8" t="n"/>
      <c r="H200" s="10" t="n"/>
      <c r="I200" s="10" t="n"/>
      <c r="J200" s="19" t="n"/>
      <c r="K200" s="19" t="n"/>
      <c r="L200" s="10" t="n"/>
      <c r="M200" s="10" t="n"/>
      <c r="N200" s="7">
        <f>IF(OR($F200="",$B200=""),"",$F200-TODAY())</f>
        <v/>
      </c>
      <c r="O200" s="7">
        <f>IF($B200="","",IF(OR($I200="Won",$I200="Lost",$I200="No bid",$I200="Submitted"),"",IF($F200="","No due date",IF($F200&lt;TODAY(),"OVERDUE",IF($F200-TODAY()&lt;=Settings!$B$10,"Due soon","")))))</f>
        <v/>
      </c>
      <c r="P200" s="7">
        <f>IF($B200="","",IF(AND($I200="Submitted",$J200&lt;&gt;"",TODAY()-$J200&gt;Settings!$B$9),"Follow up",""))</f>
        <v/>
      </c>
      <c r="Q200" s="17">
        <f>IF($B200="","",IF((COUNTIFS($D$2:$D$200,$D200,$I$2:$I$200,"Won")+COUNTIFS($D$2:$D$200,$D200,$I$2:$I$200,"Lost"))&gt;=Settings!$B$7,COUNTIFS($D$2:$D$200,$D200,$I$2:$I$200,"Won")/(COUNTIFS($D$2:$D$200,$D200,$I$2:$I$200,"Won")+COUNTIFS($D$2:$D$200,$D200,$I$2:$I$200,"Lost")),IF((COUNTIF($I$2:$I$200,"Won")+COUNTIF($I$2:$I$200,"Lost"))&gt;0,COUNTIF($I$2:$I$200,"Won")/(COUNTIF($I$2:$I$200,"Won")+COUNTIF($I$2:$I$200,"Lost")),Settings!$B$6)))</f>
        <v/>
      </c>
      <c r="R200" s="18">
        <f>IF(OR($B200="",$G200=""),"",$G200*$Q200)</f>
        <v/>
      </c>
      <c r="S200" s="18">
        <f>IF(OR($B200="",$H200=""),"",$H200*Settings!$B$4)</f>
        <v/>
      </c>
      <c r="T200" s="18">
        <f>IF(OR($B200="",$H200="",$H200=0,$G200=""),"",$R200/$H200)</f>
        <v/>
      </c>
      <c r="U200" s="11">
        <f>IF($B200="","",IF($T200="","Add value and hours",IF($T200&gt;=Settings!$B$4*Settings!$B$8,"Worth it",IF($T200&gt;=Settings!$B$4,"Thin","Skip?"))))</f>
        <v/>
      </c>
    </row>
  </sheetData>
  <conditionalFormatting sqref="O2:O200">
    <cfRule type="expression" priority="1" dxfId="0">
      <formula>$O2="OVERDUE"</formula>
    </cfRule>
    <cfRule type="expression" priority="2" dxfId="1">
      <formula>$O2="Due soon"</formula>
    </cfRule>
  </conditionalFormatting>
  <conditionalFormatting sqref="P2:P200">
    <cfRule type="expression" priority="3" dxfId="1">
      <formula>$P2="Follow up"</formula>
    </cfRule>
  </conditionalFormatting>
  <conditionalFormatting sqref="U2:U200">
    <cfRule type="expression" priority="4" dxfId="2">
      <formula>$U2="Worth it"</formula>
    </cfRule>
    <cfRule type="expression" priority="5" dxfId="1">
      <formula>$U2="Thin"</formula>
    </cfRule>
    <cfRule type="expression" priority="6" dxfId="0">
      <formula>$U2="Skip?"</formula>
    </cfRule>
  </conditionalFormatting>
  <dataValidations count="3">
    <dataValidation sqref="D2:D200" showDropDown="0" showInputMessage="0" showErrorMessage="0" allowBlank="1" type="list">
      <formula1>=Settings!$A$14:$A$23</formula1>
    </dataValidation>
    <dataValidation sqref="I2:I200" showDropDown="0" showInputMessage="0" showErrorMessage="0" allowBlank="1" type="list">
      <formula1>=Settings!$A$26:$A$31</formula1>
    </dataValidation>
    <dataValidation sqref="L2:L200" showDropDown="0" showInputMessage="0" showErrorMessage="0" allowBlank="1" type="list">
      <formula1>=Settings!$A$34:$A$41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5" t="inlineStr">
        <is>
          <t>Summary</t>
        </is>
      </c>
    </row>
    <row r="2">
      <c r="A2" s="6" t="inlineStr">
        <is>
          <t>Everything here is computed from the Bids sheet. Nothing to enter.</t>
        </is>
      </c>
    </row>
    <row r="4">
      <c r="A4" s="11" t="inlineStr">
        <is>
          <t>Overall</t>
        </is>
      </c>
    </row>
    <row r="5">
      <c r="A5" s="7" t="inlineStr">
        <is>
          <t>Bids decided (won + lost)</t>
        </is>
      </c>
      <c r="B5" s="20">
        <f>COUNTIF(Bids!$I$2:$I$200,"Won")+COUNTIF(Bids!$I$2:$I$200,"Lost")</f>
        <v/>
      </c>
    </row>
    <row r="6">
      <c r="A6" s="7" t="inlineStr">
        <is>
          <t>Overall win rate</t>
        </is>
      </c>
      <c r="B6" s="17">
        <f>IF(B5=0,"",COUNTIF(Bids!$I$2:$I$200,"Won")/B5)</f>
        <v/>
      </c>
    </row>
    <row r="7">
      <c r="A7" s="7" t="inlineStr">
        <is>
          <t>Average value of bids won ($)</t>
        </is>
      </c>
      <c r="B7" s="18">
        <f>IF(COUNTIF(Bids!$I$2:$I$200,"Won")=0,"",AVERAGEIF(Bids!$I$2:$I$200,"Won",Bids!$G$2:$G$200))</f>
        <v/>
      </c>
    </row>
    <row r="8">
      <c r="A8" s="7" t="inlineStr">
        <is>
          <t>Average value of bids lost ($)</t>
        </is>
      </c>
      <c r="B8" s="18">
        <f>IF(COUNTIF(Bids!$I$2:$I$200,"Lost")=0,"",AVERAGEIF(Bids!$I$2:$I$200,"Lost",Bids!$G$2:$G$200))</f>
        <v/>
      </c>
    </row>
    <row r="9">
      <c r="A9" s="7" t="inlineStr">
        <is>
          <t>Hours spent bidding (decided bids)</t>
        </is>
      </c>
      <c r="B9" s="20">
        <f>SUMIF(Bids!$I$2:$I$200,"Won",Bids!$H$2:$H$200)+SUMIF(Bids!$I$2:$I$200,"Lost",Bids!$H$2:$H$200)</f>
        <v/>
      </c>
    </row>
    <row r="10">
      <c r="A10" s="7" t="inlineStr">
        <is>
          <t>Bidding hours per $1,000 won</t>
        </is>
      </c>
      <c r="B10" s="21">
        <f>IF(SUMIF(Bids!$I$2:$I$200,"Won",Bids!$G$2:$G$200)=0,"",B9/(SUMIF(Bids!$I$2:$I$200,"Won",Bids!$G$2:$G$200)/1000))</f>
        <v/>
      </c>
    </row>
    <row r="11">
      <c r="A11" s="7" t="inlineStr">
        <is>
          <t>Submitted, awaiting a decision ($)</t>
        </is>
      </c>
      <c r="B11" s="18">
        <f>SUMIF(Bids!$I$2:$I$200,"Submitted",Bids!$G$2:$G$200)</f>
        <v/>
      </c>
    </row>
    <row r="12">
      <c r="A12" s="7" t="inlineStr">
        <is>
          <t>Monthly capacity from Settings ($)</t>
        </is>
      </c>
      <c r="B12" s="18">
        <f>Settings!$B$5</f>
        <v/>
      </c>
    </row>
    <row r="13">
      <c r="A13" s="7" t="inlineStr">
        <is>
          <t>Submitted value as a share of one month's capacity</t>
        </is>
      </c>
      <c r="B13" s="17">
        <f>IF(B12=0,"",B11/B12)</f>
        <v/>
      </c>
    </row>
    <row r="14">
      <c r="A14" s="7" t="inlineStr">
        <is>
          <t>Bids flagged for follow-up</t>
        </is>
      </c>
      <c r="B14" s="20">
        <f>COUNTIF(Bids!$P$2:$P$200,"Follow up")</f>
        <v/>
      </c>
    </row>
    <row r="15">
      <c r="A15" s="7" t="inlineStr">
        <is>
          <t>Bids overdue or due soon</t>
        </is>
      </c>
      <c r="B15" s="20">
        <f>COUNTIF(Bids!$O$2:$O$200,"OVERDUE")+COUNTIF(Bids!$O$2:$O$200,"Due soon")</f>
        <v/>
      </c>
    </row>
    <row r="18">
      <c r="A18" s="11" t="inlineStr">
        <is>
          <t>By lead source</t>
        </is>
      </c>
    </row>
    <row r="19">
      <c r="A19" s="22" t="inlineStr">
        <is>
          <t>Lead source</t>
        </is>
      </c>
      <c r="B19" s="22" t="inlineStr">
        <is>
          <t>Won</t>
        </is>
      </c>
      <c r="C19" s="22" t="inlineStr">
        <is>
          <t>Lost</t>
        </is>
      </c>
      <c r="D19" s="22" t="inlineStr">
        <is>
          <t>Win rate</t>
        </is>
      </c>
      <c r="E19" s="22" t="inlineStr">
        <is>
          <t>Won value ($)</t>
        </is>
      </c>
      <c r="F19" s="22" t="inlineStr">
        <is>
          <t>Hours bidding</t>
        </is>
      </c>
      <c r="G19" s="22" t="inlineStr">
        <is>
          <t>Won $ per bid hour</t>
        </is>
      </c>
    </row>
    <row r="20">
      <c r="A20" s="7">
        <f>IF(Settings!$A$14="","",Settings!$A$14)</f>
        <v/>
      </c>
      <c r="B20" s="7">
        <f>IF($A20="","",COUNTIFS(Bids!$D$2:$D$200,$A20,Bids!$I$2:$I$200,"Won"))</f>
        <v/>
      </c>
      <c r="C20" s="7">
        <f>IF($A20="","",COUNTIFS(Bids!$D$2:$D$200,$A20,Bids!$I$2:$I$200,"Lost"))</f>
        <v/>
      </c>
      <c r="D20" s="17">
        <f>IF($A20="","",IF(($B20+$C20)=0,"",$B20/($B20+$C20)))</f>
        <v/>
      </c>
      <c r="E20" s="18">
        <f>IF($A20="","",SUMIFS(Bids!$G$2:$G$200,Bids!$D$2:$D$200,$A20,Bids!$I$2:$I$200,"Won"))</f>
        <v/>
      </c>
      <c r="F20" s="20">
        <f>IF($A20="","",SUMIFS(Bids!$H$2:$H$200,Bids!$D$2:$D$200,$A20,Bids!$I$2:$I$200,"Won")+SUMIFS(Bids!$H$2:$H$200,Bids!$D$2:$D$200,$A20,Bids!$I$2:$I$200,"Lost"))</f>
        <v/>
      </c>
      <c r="G20" s="18">
        <f>IF($A20="","",IF($F20=0,"",$E20/$F20))</f>
        <v/>
      </c>
    </row>
    <row r="21">
      <c r="A21" s="7">
        <f>IF(Settings!$A$15="","",Settings!$A$15)</f>
        <v/>
      </c>
      <c r="B21" s="7">
        <f>IF($A21="","",COUNTIFS(Bids!$D$2:$D$200,$A21,Bids!$I$2:$I$200,"Won"))</f>
        <v/>
      </c>
      <c r="C21" s="7">
        <f>IF($A21="","",COUNTIFS(Bids!$D$2:$D$200,$A21,Bids!$I$2:$I$200,"Lost"))</f>
        <v/>
      </c>
      <c r="D21" s="17">
        <f>IF($A21="","",IF(($B21+$C21)=0,"",$B21/($B21+$C21)))</f>
        <v/>
      </c>
      <c r="E21" s="18">
        <f>IF($A21="","",SUMIFS(Bids!$G$2:$G$200,Bids!$D$2:$D$200,$A21,Bids!$I$2:$I$200,"Won"))</f>
        <v/>
      </c>
      <c r="F21" s="20">
        <f>IF($A21="","",SUMIFS(Bids!$H$2:$H$200,Bids!$D$2:$D$200,$A21,Bids!$I$2:$I$200,"Won")+SUMIFS(Bids!$H$2:$H$200,Bids!$D$2:$D$200,$A21,Bids!$I$2:$I$200,"Lost"))</f>
        <v/>
      </c>
      <c r="G21" s="18">
        <f>IF($A21="","",IF($F21=0,"",$E21/$F21))</f>
        <v/>
      </c>
    </row>
    <row r="22">
      <c r="A22" s="7">
        <f>IF(Settings!$A$16="","",Settings!$A$16)</f>
        <v/>
      </c>
      <c r="B22" s="7">
        <f>IF($A22="","",COUNTIFS(Bids!$D$2:$D$200,$A22,Bids!$I$2:$I$200,"Won"))</f>
        <v/>
      </c>
      <c r="C22" s="7">
        <f>IF($A22="","",COUNTIFS(Bids!$D$2:$D$200,$A22,Bids!$I$2:$I$200,"Lost"))</f>
        <v/>
      </c>
      <c r="D22" s="17">
        <f>IF($A22="","",IF(($B22+$C22)=0,"",$B22/($B22+$C22)))</f>
        <v/>
      </c>
      <c r="E22" s="18">
        <f>IF($A22="","",SUMIFS(Bids!$G$2:$G$200,Bids!$D$2:$D$200,$A22,Bids!$I$2:$I$200,"Won"))</f>
        <v/>
      </c>
      <c r="F22" s="20">
        <f>IF($A22="","",SUMIFS(Bids!$H$2:$H$200,Bids!$D$2:$D$200,$A22,Bids!$I$2:$I$200,"Won")+SUMIFS(Bids!$H$2:$H$200,Bids!$D$2:$D$200,$A22,Bids!$I$2:$I$200,"Lost"))</f>
        <v/>
      </c>
      <c r="G22" s="18">
        <f>IF($A22="","",IF($F22=0,"",$E22/$F22))</f>
        <v/>
      </c>
    </row>
    <row r="23">
      <c r="A23" s="7">
        <f>IF(Settings!$A$17="","",Settings!$A$17)</f>
        <v/>
      </c>
      <c r="B23" s="7">
        <f>IF($A23="","",COUNTIFS(Bids!$D$2:$D$200,$A23,Bids!$I$2:$I$200,"Won"))</f>
        <v/>
      </c>
      <c r="C23" s="7">
        <f>IF($A23="","",COUNTIFS(Bids!$D$2:$D$200,$A23,Bids!$I$2:$I$200,"Lost"))</f>
        <v/>
      </c>
      <c r="D23" s="17">
        <f>IF($A23="","",IF(($B23+$C23)=0,"",$B23/($B23+$C23)))</f>
        <v/>
      </c>
      <c r="E23" s="18">
        <f>IF($A23="","",SUMIFS(Bids!$G$2:$G$200,Bids!$D$2:$D$200,$A23,Bids!$I$2:$I$200,"Won"))</f>
        <v/>
      </c>
      <c r="F23" s="20">
        <f>IF($A23="","",SUMIFS(Bids!$H$2:$H$200,Bids!$D$2:$D$200,$A23,Bids!$I$2:$I$200,"Won")+SUMIFS(Bids!$H$2:$H$200,Bids!$D$2:$D$200,$A23,Bids!$I$2:$I$200,"Lost"))</f>
        <v/>
      </c>
      <c r="G23" s="18">
        <f>IF($A23="","",IF($F23=0,"",$E23/$F23))</f>
        <v/>
      </c>
    </row>
    <row r="24">
      <c r="A24" s="7">
        <f>IF(Settings!$A$18="","",Settings!$A$18)</f>
        <v/>
      </c>
      <c r="B24" s="7">
        <f>IF($A24="","",COUNTIFS(Bids!$D$2:$D$200,$A24,Bids!$I$2:$I$200,"Won"))</f>
        <v/>
      </c>
      <c r="C24" s="7">
        <f>IF($A24="","",COUNTIFS(Bids!$D$2:$D$200,$A24,Bids!$I$2:$I$200,"Lost"))</f>
        <v/>
      </c>
      <c r="D24" s="17">
        <f>IF($A24="","",IF(($B24+$C24)=0,"",$B24/($B24+$C24)))</f>
        <v/>
      </c>
      <c r="E24" s="18">
        <f>IF($A24="","",SUMIFS(Bids!$G$2:$G$200,Bids!$D$2:$D$200,$A24,Bids!$I$2:$I$200,"Won"))</f>
        <v/>
      </c>
      <c r="F24" s="20">
        <f>IF($A24="","",SUMIFS(Bids!$H$2:$H$200,Bids!$D$2:$D$200,$A24,Bids!$I$2:$I$200,"Won")+SUMIFS(Bids!$H$2:$H$200,Bids!$D$2:$D$200,$A24,Bids!$I$2:$I$200,"Lost"))</f>
        <v/>
      </c>
      <c r="G24" s="18">
        <f>IF($A24="","",IF($F24=0,"",$E24/$F24))</f>
        <v/>
      </c>
    </row>
    <row r="25">
      <c r="A25" s="7">
        <f>IF(Settings!$A$19="","",Settings!$A$19)</f>
        <v/>
      </c>
      <c r="B25" s="7">
        <f>IF($A25="","",COUNTIFS(Bids!$D$2:$D$200,$A25,Bids!$I$2:$I$200,"Won"))</f>
        <v/>
      </c>
      <c r="C25" s="7">
        <f>IF($A25="","",COUNTIFS(Bids!$D$2:$D$200,$A25,Bids!$I$2:$I$200,"Lost"))</f>
        <v/>
      </c>
      <c r="D25" s="17">
        <f>IF($A25="","",IF(($B25+$C25)=0,"",$B25/($B25+$C25)))</f>
        <v/>
      </c>
      <c r="E25" s="18">
        <f>IF($A25="","",SUMIFS(Bids!$G$2:$G$200,Bids!$D$2:$D$200,$A25,Bids!$I$2:$I$200,"Won"))</f>
        <v/>
      </c>
      <c r="F25" s="20">
        <f>IF($A25="","",SUMIFS(Bids!$H$2:$H$200,Bids!$D$2:$D$200,$A25,Bids!$I$2:$I$200,"Won")+SUMIFS(Bids!$H$2:$H$200,Bids!$D$2:$D$200,$A25,Bids!$I$2:$I$200,"Lost"))</f>
        <v/>
      </c>
      <c r="G25" s="18">
        <f>IF($A25="","",IF($F25=0,"",$E25/$F25))</f>
        <v/>
      </c>
    </row>
    <row r="26">
      <c r="A26" s="7">
        <f>IF(Settings!$A$20="","",Settings!$A$20)</f>
        <v/>
      </c>
      <c r="B26" s="7">
        <f>IF($A26="","",COUNTIFS(Bids!$D$2:$D$200,$A26,Bids!$I$2:$I$200,"Won"))</f>
        <v/>
      </c>
      <c r="C26" s="7">
        <f>IF($A26="","",COUNTIFS(Bids!$D$2:$D$200,$A26,Bids!$I$2:$I$200,"Lost"))</f>
        <v/>
      </c>
      <c r="D26" s="17">
        <f>IF($A26="","",IF(($B26+$C26)=0,"",$B26/($B26+$C26)))</f>
        <v/>
      </c>
      <c r="E26" s="18">
        <f>IF($A26="","",SUMIFS(Bids!$G$2:$G$200,Bids!$D$2:$D$200,$A26,Bids!$I$2:$I$200,"Won"))</f>
        <v/>
      </c>
      <c r="F26" s="20">
        <f>IF($A26="","",SUMIFS(Bids!$H$2:$H$200,Bids!$D$2:$D$200,$A26,Bids!$I$2:$I$200,"Won")+SUMIFS(Bids!$H$2:$H$200,Bids!$D$2:$D$200,$A26,Bids!$I$2:$I$200,"Lost"))</f>
        <v/>
      </c>
      <c r="G26" s="18">
        <f>IF($A26="","",IF($F26=0,"",$E26/$F26))</f>
        <v/>
      </c>
    </row>
    <row r="27">
      <c r="A27" s="7">
        <f>IF(Settings!$A$21="","",Settings!$A$21)</f>
        <v/>
      </c>
      <c r="B27" s="7">
        <f>IF($A27="","",COUNTIFS(Bids!$D$2:$D$200,$A27,Bids!$I$2:$I$200,"Won"))</f>
        <v/>
      </c>
      <c r="C27" s="7">
        <f>IF($A27="","",COUNTIFS(Bids!$D$2:$D$200,$A27,Bids!$I$2:$I$200,"Lost"))</f>
        <v/>
      </c>
      <c r="D27" s="17">
        <f>IF($A27="","",IF(($B27+$C27)=0,"",$B27/($B27+$C27)))</f>
        <v/>
      </c>
      <c r="E27" s="18">
        <f>IF($A27="","",SUMIFS(Bids!$G$2:$G$200,Bids!$D$2:$D$200,$A27,Bids!$I$2:$I$200,"Won"))</f>
        <v/>
      </c>
      <c r="F27" s="20">
        <f>IF($A27="","",SUMIFS(Bids!$H$2:$H$200,Bids!$D$2:$D$200,$A27,Bids!$I$2:$I$200,"Won")+SUMIFS(Bids!$H$2:$H$200,Bids!$D$2:$D$200,$A27,Bids!$I$2:$I$200,"Lost"))</f>
        <v/>
      </c>
      <c r="G27" s="18">
        <f>IF($A27="","",IF($F27=0,"",$E27/$F27))</f>
        <v/>
      </c>
    </row>
    <row r="28">
      <c r="A28" s="7">
        <f>IF(Settings!$A$22="","",Settings!$A$22)</f>
        <v/>
      </c>
      <c r="B28" s="7">
        <f>IF($A28="","",COUNTIFS(Bids!$D$2:$D$200,$A28,Bids!$I$2:$I$200,"Won"))</f>
        <v/>
      </c>
      <c r="C28" s="7">
        <f>IF($A28="","",COUNTIFS(Bids!$D$2:$D$200,$A28,Bids!$I$2:$I$200,"Lost"))</f>
        <v/>
      </c>
      <c r="D28" s="17">
        <f>IF($A28="","",IF(($B28+$C28)=0,"",$B28/($B28+$C28)))</f>
        <v/>
      </c>
      <c r="E28" s="18">
        <f>IF($A28="","",SUMIFS(Bids!$G$2:$G$200,Bids!$D$2:$D$200,$A28,Bids!$I$2:$I$200,"Won"))</f>
        <v/>
      </c>
      <c r="F28" s="20">
        <f>IF($A28="","",SUMIFS(Bids!$H$2:$H$200,Bids!$D$2:$D$200,$A28,Bids!$I$2:$I$200,"Won")+SUMIFS(Bids!$H$2:$H$200,Bids!$D$2:$D$200,$A28,Bids!$I$2:$I$200,"Lost"))</f>
        <v/>
      </c>
      <c r="G28" s="18">
        <f>IF($A28="","",IF($F28=0,"",$E28/$F28))</f>
        <v/>
      </c>
    </row>
    <row r="29">
      <c r="A29" s="7">
        <f>IF(Settings!$A$23="","",Settings!$A$23)</f>
        <v/>
      </c>
      <c r="B29" s="7">
        <f>IF($A29="","",COUNTIFS(Bids!$D$2:$D$200,$A29,Bids!$I$2:$I$200,"Won"))</f>
        <v/>
      </c>
      <c r="C29" s="7">
        <f>IF($A29="","",COUNTIFS(Bids!$D$2:$D$200,$A29,Bids!$I$2:$I$200,"Lost"))</f>
        <v/>
      </c>
      <c r="D29" s="17">
        <f>IF($A29="","",IF(($B29+$C29)=0,"",$B29/($B29+$C29)))</f>
        <v/>
      </c>
      <c r="E29" s="18">
        <f>IF($A29="","",SUMIFS(Bids!$G$2:$G$200,Bids!$D$2:$D$200,$A29,Bids!$I$2:$I$200,"Won"))</f>
        <v/>
      </c>
      <c r="F29" s="20">
        <f>IF($A29="","",SUMIFS(Bids!$H$2:$H$200,Bids!$D$2:$D$200,$A29,Bids!$I$2:$I$200,"Won")+SUMIFS(Bids!$H$2:$H$200,Bids!$D$2:$D$200,$A29,Bids!$I$2:$I$200,"Lost"))</f>
        <v/>
      </c>
      <c r="G29" s="18">
        <f>IF($A29="","",IF($F29=0,"",$E29/$F29))</f>
        <v/>
      </c>
    </row>
    <row r="32">
      <c r="A32" s="11" t="inlineStr">
        <is>
          <t>Why you lost</t>
        </is>
      </c>
    </row>
    <row r="33">
      <c r="A33" s="22" t="inlineStr">
        <is>
          <t>Reason</t>
        </is>
      </c>
      <c r="B33" s="22" t="inlineStr">
        <is>
          <t>Count</t>
        </is>
      </c>
    </row>
    <row r="34">
      <c r="A34" s="7">
        <f>IF(Settings!$A$34="","",Settings!$A$34)</f>
        <v/>
      </c>
      <c r="B34" s="7">
        <f>IF($A34="","",COUNTIFS(Bids!$L$2:$L$200,$A34,Bids!$I$2:$I$200,"Lost"))</f>
        <v/>
      </c>
    </row>
    <row r="35">
      <c r="A35" s="7">
        <f>IF(Settings!$A$35="","",Settings!$A$35)</f>
        <v/>
      </c>
      <c r="B35" s="7">
        <f>IF($A35="","",COUNTIFS(Bids!$L$2:$L$200,$A35,Bids!$I$2:$I$200,"Lost"))</f>
        <v/>
      </c>
    </row>
    <row r="36">
      <c r="A36" s="7">
        <f>IF(Settings!$A$36="","",Settings!$A$36)</f>
        <v/>
      </c>
      <c r="B36" s="7">
        <f>IF($A36="","",COUNTIFS(Bids!$L$2:$L$200,$A36,Bids!$I$2:$I$200,"Lost"))</f>
        <v/>
      </c>
    </row>
    <row r="37">
      <c r="A37" s="7">
        <f>IF(Settings!$A$37="","",Settings!$A$37)</f>
        <v/>
      </c>
      <c r="B37" s="7">
        <f>IF($A37="","",COUNTIFS(Bids!$L$2:$L$200,$A37,Bids!$I$2:$I$200,"Lost"))</f>
        <v/>
      </c>
    </row>
    <row r="38">
      <c r="A38" s="7">
        <f>IF(Settings!$A$38="","",Settings!$A$38)</f>
        <v/>
      </c>
      <c r="B38" s="7">
        <f>IF($A38="","",COUNTIFS(Bids!$L$2:$L$200,$A38,Bids!$I$2:$I$200,"Lost"))</f>
        <v/>
      </c>
    </row>
    <row r="39">
      <c r="A39" s="7">
        <f>IF(Settings!$A$39="","",Settings!$A$39)</f>
        <v/>
      </c>
      <c r="B39" s="7">
        <f>IF($A39="","",COUNTIFS(Bids!$L$2:$L$200,$A39,Bids!$I$2:$I$200,"Lost"))</f>
        <v/>
      </c>
    </row>
    <row r="40">
      <c r="A40" s="7">
        <f>IF(Settings!$A$40="","",Settings!$A$40)</f>
        <v/>
      </c>
      <c r="B40" s="7">
        <f>IF($A40="","",COUNTIFS(Bids!$L$2:$L$200,$A40,Bids!$I$2:$I$200,"Lost"))</f>
        <v/>
      </c>
    </row>
    <row r="41">
      <c r="A41" s="7">
        <f>IF(Settings!$A$41="","",Settings!$A$41)</f>
        <v/>
      </c>
      <c r="B41" s="7">
        <f>IF($A41="","",COUNTIFS(Bids!$L$2:$L$200,$A41,Bids!$I$2:$I$200,"Lost"))</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2026-09-15T23:37:45Z</dcterms:created>
  <dcterms:modified xsi:type="dcterms:W3CDTF">2026-09-15T23:37:46Z</dcterms:modified>
</cp:coreProperties>
</file>