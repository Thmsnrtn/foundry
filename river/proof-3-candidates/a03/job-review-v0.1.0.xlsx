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" sheetId="1" r:id="rId1"/>
    <sheet name="Guide" sheetId="2" r:id="rId2"/>
  </sheets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6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 applyProtection="1">
      <protection locked="0"/>
    </xf>
    <xf numFmtId="164" fontId="0" fillId="2" borderId="0" xfId="0" applyNumberFormat="1" applyFill="1" applyProtection="1">
      <protection locked="0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2" customWidth="1"/>
    <col min="2" max="2" width="16" customWidth="1"/>
    <col min="3" max="3" width="16" customWidth="1"/>
  </cols>
  <sheetData>
    <row r="1">
      <c r="A1" s="1" t="inlineStr">
        <is>
          <t xml:space="preserve">Job review — estimate versus actual</t>
        </is>
      </c>
    </row>
    <row r="2">
      <c r="A2" t="inlineStr">
        <is>
          <t xml:space="preserve">Yellow cells are yours. Blank means not known: enter 0 for none.</t>
        </is>
      </c>
    </row>
    <row r="4">
      <c r="B4" s="1" t="inlineStr">
        <is>
          <t xml:space="preserve">Estimate</t>
        </is>
      </c>
      <c r="C4" s="1" t="inlineStr">
        <is>
          <t xml:space="preserve">Actual</t>
        </is>
      </c>
    </row>
    <row r="5">
      <c r="A5" t="inlineStr">
        <is>
          <t xml:space="preserve">Price quoted (before any changes)</t>
        </is>
      </c>
      <c r="B5" s="3">
        <v>12400</v>
      </c>
    </row>
    <row r="6">
      <c r="A6" t="inlineStr">
        <is>
          <t xml:space="preserve">Approved changes (added to the price)</t>
        </is>
      </c>
      <c r="C6" s="3">
        <v>900</v>
      </c>
    </row>
    <row r="8">
      <c r="A8" t="inlineStr">
        <is>
          <t xml:space="preserve">Materials</t>
        </is>
      </c>
      <c r="B8" s="3">
        <v>3800</v>
      </c>
      <c r="C8" s="3">
        <v>4150</v>
      </c>
    </row>
    <row r="9">
      <c r="A9" t="inlineStr">
        <is>
          <t xml:space="preserve">Labor hours</t>
        </is>
      </c>
      <c r="B9" s="2">
        <v>64</v>
      </c>
      <c r="C9" s="2">
        <v>79</v>
      </c>
    </row>
    <row r="10">
      <c r="A10" t="inlineStr">
        <is>
          <t xml:space="preserve">Labor rate per hour</t>
        </is>
      </c>
      <c r="B10" s="3">
        <v>55</v>
      </c>
      <c r="C10" s="3">
        <v>55</v>
      </c>
    </row>
    <row r="11">
      <c r="A11" t="inlineStr">
        <is>
          <t xml:space="preserve">Subcontractors</t>
        </is>
      </c>
      <c r="B11" s="3">
        <v>1200</v>
      </c>
      <c r="C11" s="3">
        <v>1200</v>
      </c>
    </row>
    <row r="12">
      <c r="A12" t="inlineStr">
        <is>
          <t xml:space="preserve">Other direct costs</t>
        </is>
      </c>
      <c r="B12" s="3">
        <v>300</v>
      </c>
      <c r="C12" s="3">
        <v>410</v>
      </c>
    </row>
    <row r="13">
      <c r="A13" t="inlineStr">
        <is>
          <t xml:space="preserve">Supplier credits (reduce materials)</t>
        </is>
      </c>
      <c r="C13" s="3">
        <v>120</v>
      </c>
    </row>
    <row r="15">
      <c r="A15" s="1" t="inlineStr">
        <is>
          <t xml:space="preserve">What happened</t>
        </is>
      </c>
    </row>
    <row r="16">
      <c r="A16" t="inlineStr">
        <is>
          <t xml:space="preserve">Revenue</t>
        </is>
      </c>
      <c r="B16" s="4">
        <f>IF(AND(ISNUMBER(B5)),ROUND(B5,2),"unknown")</f>
      </c>
      <c r="C16" s="4">
        <f>IF(AND(ISNUMBER(B5),ISNUMBER(C6)),ROUND(B5+C6,2),"unknown")</f>
      </c>
    </row>
    <row r="17">
      <c r="A17" t="inlineStr">
        <is>
          <t xml:space="preserve">Labor cost</t>
        </is>
      </c>
      <c r="B17" s="4">
        <f>IF(AND(ISNUMBER(B9),ISNUMBER(B10)),ROUND(B9*B10,2),"unknown")</f>
      </c>
      <c r="C17" s="4">
        <f>IF(AND(ISNUMBER(C9),ISNUMBER(C10)),ROUND(C9*C10,2),"unknown")</f>
      </c>
    </row>
    <row r="18">
      <c r="A18" t="inlineStr">
        <is>
          <t xml:space="preserve">Direct cost</t>
        </is>
      </c>
      <c r="B18" s="4">
        <f>IF(AND(ISNUMBER(B8),ISNUMBER(B17),ISNUMBER(B11),ISNUMBER(B12)),ROUND(B8+B17+B11+B12,2),"unknown")</f>
      </c>
      <c r="C18" s="4">
        <f>IF(AND(ISNUMBER(C8),ISNUMBER(C13),ISNUMBER(C17),ISNUMBER(C11),ISNUMBER(C12)),ROUND(C8-C13+C17+C11+C12,2),"unknown")</f>
      </c>
    </row>
    <row r="19">
      <c r="A19" t="inlineStr">
        <is>
          <t xml:space="preserve">Contribution (revenue less direct cost)</t>
        </is>
      </c>
      <c r="B19" s="4">
        <f>IF(AND(ISNUMBER(B16),ISNUMBER(B18)),ROUND(B16-B18,2),"unknown")</f>
      </c>
      <c r="C19" s="4">
        <f>IF(AND(ISNUMBER(C16),ISNUMBER(C18)),ROUND(C16-C18,2),"unknown")</f>
      </c>
    </row>
    <row r="20">
      <c r="A20" t="inlineStr">
        <is>
          <t xml:space="preserve">Margin (contribution ÷ revenue)</t>
        </is>
      </c>
      <c r="B20" s="5">
        <f>IF(AND(ISNUMBER(B19),ISNUMBER(B16)),IF(B16=0,"undefined",ROUND(B19/B16,4)),"unknown")</f>
      </c>
      <c r="C20" s="5">
        <f>IF(AND(ISNUMBER(C19),ISNUMBER(C16)),IF(C16=0,"undefined",ROUND(C19/C16,4)),"unknown")</f>
      </c>
    </row>
    <row r="22">
      <c r="A22" s="1" t="inlineStr">
        <is>
          <t xml:space="preserve">Where it moved (actual less estimate)</t>
        </is>
      </c>
    </row>
    <row r="23">
      <c r="A23" t="inlineStr">
        <is>
          <t xml:space="preserve">Materials, after credits</t>
        </is>
      </c>
      <c r="B23" s="4">
        <f>IF(AND(ISNUMBER(C8),ISNUMBER(C13),ISNUMBER(B8)),ROUND(C8-C13-B8,2),"unknown")</f>
      </c>
    </row>
    <row r="24">
      <c r="A24" t="inlineStr">
        <is>
          <t xml:space="preserve">Labor hours</t>
        </is>
      </c>
      <c r="B24">
        <f>IF(AND(ISNUMBER(C9),ISNUMBER(B9)),ROUND(C9-B9,2),"unknown")</f>
      </c>
    </row>
    <row r="25">
      <c r="A25" t="inlineStr">
        <is>
          <t xml:space="preserve">Labor cost</t>
        </is>
      </c>
      <c r="B25" s="4">
        <f>IF(AND(ISNUMBER(C17),ISNUMBER(B17)),ROUND(C17-B17,2),"unknown")</f>
      </c>
    </row>
    <row r="26">
      <c r="A26" t="inlineStr">
        <is>
          <t xml:space="preserve">Subcontractors</t>
        </is>
      </c>
      <c r="B26" s="4">
        <f>IF(AND(ISNUMBER(C11),ISNUMBER(B11)),ROUND(C11-B11,2),"unknown")</f>
      </c>
    </row>
    <row r="27">
      <c r="A27" t="inlineStr">
        <is>
          <t xml:space="preserve">Other direct costs</t>
        </is>
      </c>
      <c r="B27" s="4">
        <f>IF(AND(ISNUMBER(C12),ISNUMBER(B12)),ROUND(C12-B12,2),"unknown")</f>
      </c>
    </row>
    <row r="29">
      <c r="A29" s="1" t="inlineStr">
        <is>
          <t xml:space="preserve">For the next quote</t>
        </is>
      </c>
    </row>
    <row r="30">
      <c r="A30" t="inlineStr">
        <is>
          <t xml:space="preserve">Price that would have kept the planned contribution on these actual costs</t>
        </is>
      </c>
      <c r="B30" s="4">
        <f>IF(AND(ISNUMBER(C18),ISNUMBER(B19)),ROUND(C18+B19,2),"unknown")</f>
      </c>
    </row>
    <row r="31">
      <c r="A31" t="inlineStr">
        <is>
          <t xml:space="preserve">Arithmetic on your own numbers — not a market price, and not a prediction of the next job.</t>
        </is>
      </c>
    </row>
  </sheetData>
  <sheetProtection sheet="1" objects="1" scenarios="1"/>
  <dataValidations count="4">
    <dataValidation type="decimal" operator="greaterThanOrEqual" allowBlank="1" showErrorMessage="1" errorTitle="A number" error="Enter a number, 0 or more, or leave it blank if it is not known." sqref="B5">
      <formula1>0</formula1>
    </dataValidation>
    <dataValidation type="decimal" operator="greaterThanOrEqual" allowBlank="1" showErrorMessage="1" errorTitle="A number" error="Enter a number, 0 or more, or leave it blank if it is not known." sqref="C6">
      <formula1>0</formula1>
    </dataValidation>
    <dataValidation type="decimal" operator="greaterThanOrEqual" allowBlank="1" showErrorMessage="1" errorTitle="A number" error="Enter a number, 0 or more, or leave it blank if it is not known." sqref="B8:C12">
      <formula1>0</formula1>
    </dataValidation>
    <dataValidation type="decimal" operator="greaterThanOrEqual" allowBlank="1" showErrorMessage="1" errorTitle="A number" error="Enter a number, 0 or more, or leave it blank if it is not known." sqref="C13">
      <formula1>0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10" customWidth="1"/>
  </cols>
  <sheetData>
    <row r="1">
      <c r="A1" s="1" t="inlineStr">
        <is>
          <t xml:space="preserve">Job review — how to use it</t>
        </is>
      </c>
    </row>
    <row r="2">
      <c r="A2" t="inlineStr">
        <is>
          <t xml:space="preserve"/>
        </is>
      </c>
    </row>
    <row r="3">
      <c r="A3" t="inlineStr">
        <is>
          <t xml:space="preserve">What it is for: after a job is finished, see where it made or lost money against what you quoted,</t>
        </is>
      </c>
    </row>
    <row r="4">
      <c r="A4" t="inlineStr">
        <is>
          <t xml:space="preserve">and what the price would have needed to be to keep the contribution you planned.</t>
        </is>
      </c>
    </row>
    <row r="5">
      <c r="A5" t="inlineStr">
        <is>
          <t xml:space="preserve"/>
        </is>
      </c>
    </row>
    <row r="6">
      <c r="A6" t="inlineStr">
        <is>
          <t xml:space="preserve">1. On the Job sheet, overwrite the example with one finished job. Only the yellow cells take input.</t>
        </is>
      </c>
    </row>
    <row r="7">
      <c r="A7" t="inlineStr">
        <is>
          <t xml:space="preserve">2. Enter the price you quoted before any changes, and approved changes separately.</t>
        </is>
      </c>
    </row>
    <row r="8">
      <c r="A8" t="inlineStr">
        <is>
          <t xml:space="preserve">3. Enter your estimate and what actually happened, line by line. Hours are hours; money is dollars.</t>
        </is>
      </c>
    </row>
    <row r="9">
      <c r="A9" t="inlineStr">
        <is>
          <t xml:space="preserve">4. Leave a cell blank only if you do not know it. Anything that depends on it will say "unknown".</t>
        </is>
      </c>
    </row>
    <row r="10">
      <c r="A10" t="inlineStr">
        <is>
          <t xml:space="preserve">   If there was nothing (no subcontractors, no credit), enter 0.</t>
        </is>
      </c>
    </row>
    <row r="11">
      <c r="A11" t="inlineStr">
        <is>
          <t xml:space="preserve">5. Read "What happened", then "Where it moved", then the price line under "For the next quote".</t>
        </is>
      </c>
    </row>
    <row r="12">
      <c r="A12" t="inlineStr">
        <is>
          <t xml:space="preserve"/>
        </is>
      </c>
    </row>
    <row r="13">
      <c r="A13" t="inlineStr">
        <is>
          <t xml:space="preserve">What it is not: bookkeeping, tax advice, a market price, or a prediction. It does arithmetic on your</t>
        </is>
      </c>
    </row>
    <row r="14">
      <c r="A14" t="inlineStr">
        <is>
          <t xml:space="preserve">numbers and shows its working; the formulas are locked so they cannot be overwritten by accident.</t>
        </is>
      </c>
    </row>
    <row r="15">
      <c r="A15" t="inlineStr">
        <is>
          <t xml:space="preserve"/>
        </is>
      </c>
    </row>
    <row r="16">
      <c r="A16" t="inlineStr">
        <is>
          <t xml:space="preserve">Version 0.1.0. A corrected file gets a new version number; this one is never replaced silently.</t>
        </is>
      </c>
    </row>
  </sheetData>
  <sheetProtection sheet="1" objects="1" scenarios="1"/>
</worksheet>
</file>